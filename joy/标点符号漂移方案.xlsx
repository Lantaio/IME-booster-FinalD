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Lantaio\Projects\AutoHotkey\FinalD\joy\"/>
    </mc:Choice>
  </mc:AlternateContent>
  <bookViews>
    <workbookView xWindow="0" yWindow="69000" windowWidth="15705" windowHeight="7725" activeTab="1"/>
  </bookViews>
  <sheets>
    <sheet name="标点频率统计" sheetId="1" r:id="rId1"/>
    <sheet name="标点漂移方案" sheetId="3" r:id="rId2"/>
    <sheet name="数字漂移方案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G33" i="1" l="1"/>
  <c r="B30" i="1" l="1"/>
  <c r="B15" i="1"/>
  <c r="B32" i="1" l="1"/>
  <c r="B31" i="1"/>
  <c r="B23" i="1"/>
  <c r="B33" i="1"/>
  <c r="B29" i="1"/>
  <c r="B20" i="1"/>
  <c r="G20" i="1" s="1"/>
  <c r="B18" i="1"/>
  <c r="B25" i="1"/>
  <c r="B5" i="1"/>
  <c r="B7" i="1"/>
  <c r="G7" i="1" s="1"/>
  <c r="B9" i="1"/>
  <c r="B19" i="1"/>
  <c r="B11" i="1"/>
  <c r="B24" i="1"/>
  <c r="B28" i="1"/>
  <c r="B10" i="1"/>
  <c r="B26" i="1"/>
  <c r="G26" i="1" s="1"/>
  <c r="B27" i="1"/>
  <c r="B13" i="1"/>
  <c r="B12" i="1"/>
  <c r="B17" i="1"/>
  <c r="G17" i="1" s="1"/>
  <c r="B16" i="1"/>
  <c r="B22" i="1"/>
  <c r="B21" i="1"/>
  <c r="B2" i="1"/>
  <c r="G2" i="1" s="1"/>
  <c r="B3" i="1"/>
  <c r="G3" i="1" s="1"/>
  <c r="B8" i="1"/>
  <c r="B14" i="1"/>
  <c r="B6" i="1"/>
  <c r="G6" i="1" s="1"/>
  <c r="B4" i="1"/>
  <c r="G4" i="1" s="1"/>
  <c r="D32" i="1"/>
  <c r="D23" i="1"/>
  <c r="D29" i="1"/>
  <c r="D18" i="1"/>
  <c r="D30" i="1"/>
  <c r="G30" i="1" s="1"/>
  <c r="D25" i="1"/>
  <c r="D5" i="1"/>
  <c r="D9" i="1"/>
  <c r="D11" i="1"/>
  <c r="D15" i="1"/>
  <c r="G15" i="1" s="1"/>
  <c r="D24" i="1"/>
  <c r="D28" i="1"/>
  <c r="D10" i="1"/>
  <c r="D26" i="1"/>
  <c r="D27" i="1"/>
  <c r="D13" i="1"/>
  <c r="D12" i="1"/>
  <c r="D17" i="1"/>
  <c r="D16" i="1"/>
  <c r="D22" i="1"/>
  <c r="D21" i="1"/>
  <c r="D2" i="1"/>
  <c r="D3" i="1"/>
  <c r="D8" i="1"/>
  <c r="D14" i="1"/>
  <c r="D6" i="1"/>
  <c r="D4" i="1"/>
  <c r="E32" i="1"/>
  <c r="E31" i="1"/>
  <c r="E23" i="1"/>
  <c r="E33" i="1"/>
  <c r="E29" i="1"/>
  <c r="E18" i="1"/>
  <c r="E30" i="1"/>
  <c r="E25" i="1"/>
  <c r="E5" i="1"/>
  <c r="E7" i="1"/>
  <c r="E9" i="1"/>
  <c r="E19" i="1"/>
  <c r="E11" i="1"/>
  <c r="E15" i="1"/>
  <c r="E24" i="1"/>
  <c r="E28" i="1"/>
  <c r="E10" i="1"/>
  <c r="E26" i="1"/>
  <c r="E27" i="1"/>
  <c r="E13" i="1"/>
  <c r="E12" i="1"/>
  <c r="E17" i="1"/>
  <c r="E16" i="1"/>
  <c r="E22" i="1"/>
  <c r="E21" i="1"/>
  <c r="E2" i="1"/>
  <c r="E3" i="1"/>
  <c r="E8" i="1"/>
  <c r="E14" i="1"/>
  <c r="E6" i="1"/>
  <c r="E4" i="1"/>
  <c r="G5" i="1" l="1"/>
  <c r="G32" i="1"/>
  <c r="G14" i="1"/>
  <c r="G21" i="1"/>
  <c r="G12" i="1"/>
  <c r="G10" i="1"/>
  <c r="G19" i="1"/>
  <c r="G25" i="1"/>
  <c r="G11" i="1"/>
  <c r="G29" i="1"/>
  <c r="G8" i="1"/>
  <c r="G22" i="1"/>
  <c r="G13" i="1"/>
  <c r="G28" i="1"/>
  <c r="G9" i="1"/>
  <c r="G18" i="1"/>
  <c r="G23" i="1"/>
  <c r="G16" i="1"/>
  <c r="G27" i="1"/>
  <c r="G24" i="1"/>
  <c r="G31" i="1"/>
</calcChain>
</file>

<file path=xl/sharedStrings.xml><?xml version="1.0" encoding="utf-8"?>
<sst xmlns="http://schemas.openxmlformats.org/spreadsheetml/2006/main" count="263" uniqueCount="234">
  <si>
    <t>标点符号</t>
    <phoneticPr fontId="1" type="noConversion"/>
  </si>
  <si>
    <t>Java</t>
    <phoneticPr fontId="1" type="noConversion"/>
  </si>
  <si>
    <t>Python</t>
    <phoneticPr fontId="1" type="noConversion"/>
  </si>
  <si>
    <t>(</t>
    <phoneticPr fontId="1" type="noConversion"/>
  </si>
  <si>
    <t>)</t>
    <phoneticPr fontId="1" type="noConversion"/>
  </si>
  <si>
    <t>[</t>
    <phoneticPr fontId="1" type="noConversion"/>
  </si>
  <si>
    <t>]</t>
    <phoneticPr fontId="1" type="noConversion"/>
  </si>
  <si>
    <t>{</t>
    <phoneticPr fontId="1" type="noConversion"/>
  </si>
  <si>
    <t>}</t>
    <phoneticPr fontId="1" type="noConversion"/>
  </si>
  <si>
    <t>?</t>
    <phoneticPr fontId="1" type="noConversion"/>
  </si>
  <si>
    <t>!</t>
    <phoneticPr fontId="1" type="noConversion"/>
  </si>
  <si>
    <t>/</t>
    <phoneticPr fontId="1" type="noConversion"/>
  </si>
  <si>
    <t>\</t>
    <phoneticPr fontId="1" type="noConversion"/>
  </si>
  <si>
    <t>+</t>
    <phoneticPr fontId="1" type="noConversion"/>
  </si>
  <si>
    <t>-</t>
    <phoneticPr fontId="1" type="noConversion"/>
  </si>
  <si>
    <t>=</t>
    <phoneticPr fontId="1" type="noConversion"/>
  </si>
  <si>
    <t>*</t>
    <phoneticPr fontId="1" type="noConversion"/>
  </si>
  <si>
    <t>&lt;</t>
    <phoneticPr fontId="1" type="noConversion"/>
  </si>
  <si>
    <t>&gt;</t>
    <phoneticPr fontId="1" type="noConversion"/>
  </si>
  <si>
    <t>_</t>
    <phoneticPr fontId="1" type="noConversion"/>
  </si>
  <si>
    <t>|</t>
    <phoneticPr fontId="1" type="noConversion"/>
  </si>
  <si>
    <t>&amp;</t>
    <phoneticPr fontId="1" type="noConversion"/>
  </si>
  <si>
    <t>#</t>
    <phoneticPr fontId="1" type="noConversion"/>
  </si>
  <si>
    <t>`</t>
    <phoneticPr fontId="1" type="noConversion"/>
  </si>
  <si>
    <t>%</t>
    <phoneticPr fontId="1" type="noConversion"/>
  </si>
  <si>
    <t>$</t>
    <phoneticPr fontId="1" type="noConversion"/>
  </si>
  <si>
    <t>@</t>
    <phoneticPr fontId="1" type="noConversion"/>
  </si>
  <si>
    <t>～</t>
    <phoneticPr fontId="1" type="noConversion"/>
  </si>
  <si>
    <t>^</t>
    <phoneticPr fontId="1" type="noConversion"/>
  </si>
  <si>
    <t>Rust</t>
    <phoneticPr fontId="1" type="noConversion"/>
  </si>
  <si>
    <t>Markdown</t>
    <phoneticPr fontId="1" type="noConversion"/>
  </si>
  <si>
    <t>汇总</t>
    <phoneticPr fontId="1" type="noConversion"/>
  </si>
  <si>
    <t>。</t>
    <phoneticPr fontId="1" type="noConversion"/>
  </si>
  <si>
    <t>GFM</t>
    <phoneticPr fontId="1" type="noConversion"/>
  </si>
  <si>
    <t>，</t>
    <phoneticPr fontId="1" type="noConversion"/>
  </si>
  <si>
    <t>：</t>
    <phoneticPr fontId="1" type="noConversion"/>
  </si>
  <si>
    <t>；</t>
    <phoneticPr fontId="1" type="noConversion"/>
  </si>
  <si>
    <t>-</t>
  </si>
  <si>
    <t>+</t>
  </si>
  <si>
    <t>&amp;</t>
  </si>
  <si>
    <t>@</t>
  </si>
  <si>
    <t>%</t>
  </si>
  <si>
    <t>"</t>
    <phoneticPr fontId="1" type="noConversion"/>
  </si>
  <si>
    <t>'</t>
    <phoneticPr fontId="1" type="noConversion"/>
  </si>
  <si>
    <t>-</t>
    <phoneticPr fontId="1" type="noConversion"/>
  </si>
  <si>
    <t>+</t>
    <phoneticPr fontId="1" type="noConversion"/>
  </si>
  <si>
    <t>~</t>
    <phoneticPr fontId="1" type="noConversion"/>
  </si>
  <si>
    <t>$</t>
    <phoneticPr fontId="1" type="noConversion"/>
  </si>
  <si>
    <t>～</t>
    <phoneticPr fontId="1" type="noConversion"/>
  </si>
  <si>
    <t>！</t>
    <phoneticPr fontId="1" type="noConversion"/>
  </si>
  <si>
    <t>？</t>
    <phoneticPr fontId="1" type="noConversion"/>
  </si>
  <si>
    <t>⚠</t>
    <phoneticPr fontId="1" type="noConversion"/>
  </si>
  <si>
    <t>。</t>
  </si>
  <si>
    <t>）</t>
    <phoneticPr fontId="1" type="noConversion"/>
  </si>
  <si>
    <t>（</t>
    <phoneticPr fontId="1" type="noConversion"/>
  </si>
  <si>
    <t>《</t>
    <phoneticPr fontId="1" type="noConversion"/>
  </si>
  <si>
    <t>》</t>
    <phoneticPr fontId="1" type="noConversion"/>
  </si>
  <si>
    <t>；</t>
  </si>
  <si>
    <t>「</t>
    <phoneticPr fontId="1" type="noConversion"/>
  </si>
  <si>
    <t>」</t>
    <phoneticPr fontId="1" type="noConversion"/>
  </si>
  <si>
    <t>、</t>
    <phoneticPr fontId="1" type="noConversion"/>
  </si>
  <si>
    <t>￥</t>
    <phoneticPr fontId="1" type="noConversion"/>
  </si>
  <si>
    <t>——</t>
    <phoneticPr fontId="1" type="noConversion"/>
  </si>
  <si>
    <t>.</t>
    <phoneticPr fontId="1" type="noConversion"/>
  </si>
  <si>
    <r>
      <rPr>
        <sz val="11"/>
        <color rgb="FFFF0000"/>
        <rFont val="Consolas"/>
        <family val="3"/>
      </rPr>
      <t>“</t>
    </r>
    <r>
      <rPr>
        <sz val="11"/>
        <color theme="6"/>
        <rFont val="Consolas"/>
        <family val="3"/>
      </rPr>
      <t>,</t>
    </r>
    <r>
      <rPr>
        <sz val="11"/>
        <color rgb="FFFF0000"/>
        <rFont val="Consolas"/>
        <family val="3"/>
      </rPr>
      <t>”</t>
    </r>
    <r>
      <rPr>
        <sz val="11"/>
        <rFont val="微软雅黑"/>
        <family val="2"/>
        <charset val="134"/>
      </rPr>
      <t>轮换</t>
    </r>
    <phoneticPr fontId="1" type="noConversion"/>
  </si>
  <si>
    <t>/</t>
    <phoneticPr fontId="1" type="noConversion"/>
  </si>
  <si>
    <t>*</t>
    <phoneticPr fontId="1" type="noConversion"/>
  </si>
  <si>
    <t>#</t>
    <phoneticPr fontId="1" type="noConversion"/>
  </si>
  <si>
    <t>`</t>
    <phoneticPr fontId="1" type="noConversion"/>
  </si>
  <si>
    <r>
      <rPr>
        <sz val="11"/>
        <color rgb="FFFF0000"/>
        <rFont val="微软雅黑"/>
        <family val="2"/>
        <charset val="134"/>
      </rPr>
      <t>《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〈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≤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‹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≦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⟨</t>
    </r>
    <phoneticPr fontId="1" type="noConversion"/>
  </si>
  <si>
    <r>
      <rPr>
        <sz val="11"/>
        <color rgb="FFFF0000"/>
        <rFont val="微软雅黑"/>
        <family val="2"/>
        <charset val="134"/>
      </rPr>
      <t>》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〉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≥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»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›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≧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⟩</t>
    </r>
    <phoneticPr fontId="1" type="noConversion"/>
  </si>
  <si>
    <r>
      <rPr>
        <sz val="11"/>
        <color rgb="FFFF0000"/>
        <rFont val="Consolas"/>
        <family val="3"/>
      </rPr>
      <t>‘</t>
    </r>
    <r>
      <rPr>
        <sz val="11"/>
        <color theme="6"/>
        <rFont val="Consolas"/>
        <family val="3"/>
      </rPr>
      <t>,</t>
    </r>
    <r>
      <rPr>
        <sz val="11"/>
        <color rgb="FFFF0000"/>
        <rFont val="Consolas"/>
        <family val="3"/>
      </rPr>
      <t>’</t>
    </r>
    <r>
      <rPr>
        <sz val="11"/>
        <rFont val="微软雅黑"/>
        <family val="2"/>
        <charset val="134"/>
      </rPr>
      <t>轮换</t>
    </r>
    <phoneticPr fontId="1" type="noConversion"/>
  </si>
  <si>
    <r>
      <rPr>
        <sz val="11"/>
        <color rgb="FFFF0000"/>
        <rFont val="Consolas"/>
        <family val="3"/>
      </rPr>
      <t>“</t>
    </r>
    <r>
      <rPr>
        <sz val="11"/>
        <color theme="6"/>
        <rFont val="Consolas"/>
        <family val="3"/>
      </rPr>
      <t>,</t>
    </r>
    <r>
      <rPr>
        <sz val="11"/>
        <color rgb="FFFF0000"/>
        <rFont val="Consolas"/>
        <family val="3"/>
      </rPr>
      <t>”</t>
    </r>
    <r>
      <rPr>
        <sz val="11"/>
        <color theme="1"/>
        <rFont val="微软雅黑"/>
        <family val="2"/>
        <charset val="134"/>
      </rPr>
      <t>轮换</t>
    </r>
    <phoneticPr fontId="1" type="noConversion"/>
  </si>
  <si>
    <r>
      <rPr>
        <sz val="11"/>
        <color rgb="FFFF0000"/>
        <rFont val="Consolas"/>
        <family val="3"/>
      </rPr>
      <t>‘</t>
    </r>
    <r>
      <rPr>
        <sz val="11"/>
        <color theme="6"/>
        <rFont val="Consolas"/>
        <family val="3"/>
      </rPr>
      <t>,</t>
    </r>
    <r>
      <rPr>
        <sz val="11"/>
        <color rgb="FFFF0000"/>
        <rFont val="Consolas"/>
        <family val="3"/>
      </rPr>
      <t>’</t>
    </r>
    <r>
      <rPr>
        <sz val="11"/>
        <color theme="1"/>
        <rFont val="微软雅黑"/>
        <family val="2"/>
        <charset val="134"/>
      </rPr>
      <t>轮换</t>
    </r>
    <phoneticPr fontId="1" type="noConversion"/>
  </si>
  <si>
    <r>
      <rPr>
        <sz val="11"/>
        <color rgb="FFFF0000"/>
        <rFont val="微软雅黑"/>
        <family val="2"/>
        <charset val="134"/>
      </rPr>
      <t>、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→</t>
    </r>
    <r>
      <rPr>
        <sz val="11"/>
        <color theme="6"/>
        <rFont val="Consolas"/>
        <family val="3"/>
      </rPr>
      <t>,</t>
    </r>
    <r>
      <rPr>
        <sz val="11"/>
        <color theme="1"/>
        <rFont val="Malgun Gothic Semilight"/>
        <family val="2"/>
        <charset val="134"/>
      </rPr>
      <t>↔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←</t>
    </r>
    <phoneticPr fontId="1" type="noConversion"/>
  </si>
  <si>
    <t>｜</t>
    <phoneticPr fontId="1" type="noConversion"/>
  </si>
  <si>
    <t>……</t>
    <phoneticPr fontId="1" type="noConversion"/>
  </si>
  <si>
    <t>中文</t>
    <phoneticPr fontId="1" type="noConversion"/>
  </si>
  <si>
    <r>
      <t>Rime</t>
    </r>
    <r>
      <rPr>
        <sz val="11"/>
        <rFont val="微软雅黑"/>
        <family val="2"/>
        <charset val="134"/>
      </rPr>
      <t>标点候选菜单</t>
    </r>
    <phoneticPr fontId="1" type="noConversion"/>
  </si>
  <si>
    <r>
      <rPr>
        <sz val="11"/>
        <color rgb="FFFF0000"/>
        <rFont val="微软雅黑"/>
        <family val="2"/>
        <charset val="134"/>
      </rPr>
      <t>。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℃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°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℉</t>
    </r>
    <r>
      <rPr>
        <sz val="11"/>
        <color theme="6"/>
        <rFont val="微软雅黑"/>
        <family val="2"/>
        <charset val="134"/>
      </rPr>
      <t>全角时列表</t>
    </r>
    <phoneticPr fontId="1" type="noConversion"/>
  </si>
  <si>
    <r>
      <rPr>
        <sz val="11"/>
        <color rgb="FFFF0000"/>
        <rFont val="微软雅黑"/>
        <family val="2"/>
        <charset val="134"/>
      </rPr>
      <t>（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〔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〘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</si>
  <si>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FF0000"/>
        <rFont val="微软雅黑"/>
        <family val="2"/>
        <charset val="134"/>
      </rPr>
      <t>）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〕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〙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</si>
  <si>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}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」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』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｝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</si>
  <si>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0070C0"/>
        <rFont val="Consolas"/>
        <family val="3"/>
      </rPr>
      <t>]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】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〗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］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</si>
  <si>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0070C0"/>
        <rFont val="Consolas"/>
        <family val="3"/>
      </rPr>
      <t>{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「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『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｛</t>
    </r>
    <r>
      <rPr>
        <sz val="11"/>
        <color theme="6"/>
        <rFont val="Consolas"/>
        <family val="3"/>
      </rPr>
      <t/>
    </r>
    <phoneticPr fontId="1" type="noConversion"/>
  </si>
  <si>
    <t>🙂️</t>
    <phoneticPr fontId="1" type="noConversion"/>
  </si>
  <si>
    <t>🙂️</t>
    <phoneticPr fontId="1" type="noConversion"/>
  </si>
  <si>
    <t>🙂️</t>
    <phoneticPr fontId="1" type="noConversion"/>
  </si>
  <si>
    <t>😄️</t>
    <phoneticPr fontId="1" type="noConversion"/>
  </si>
  <si>
    <t>😄️</t>
    <phoneticPr fontId="1" type="noConversion"/>
  </si>
  <si>
    <t>😄️</t>
    <phoneticPr fontId="1" type="noConversion"/>
  </si>
  <si>
    <t>😄️</t>
    <phoneticPr fontId="1" type="noConversion"/>
  </si>
  <si>
    <t>😄️</t>
    <phoneticPr fontId="1" type="noConversion"/>
  </si>
  <si>
    <t>😄️</t>
    <phoneticPr fontId="1" type="noConversion"/>
  </si>
  <si>
    <t>例如：2</t>
    <phoneticPr fontId="1" type="noConversion"/>
  </si>
  <si>
    <t>数字时</t>
    <phoneticPr fontId="1" type="noConversion"/>
  </si>
  <si>
    <r>
      <rPr>
        <sz val="11"/>
        <color rgb="FF0070C0"/>
        <rFont val="微软雅黑"/>
        <family val="2"/>
        <charset val="134"/>
      </rPr>
      <t>英</t>
    </r>
    <r>
      <rPr>
        <sz val="11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中</t>
    </r>
    <r>
      <rPr>
        <sz val="11"/>
        <rFont val="微软雅黑"/>
        <family val="2"/>
        <charset val="134"/>
      </rPr>
      <t>标点变换</t>
    </r>
    <phoneticPr fontId="1" type="noConversion"/>
  </si>
  <si>
    <t>左Shift键</t>
    <phoneticPr fontId="1" type="noConversion"/>
  </si>
  <si>
    <r>
      <rPr>
        <sz val="11"/>
        <color theme="1"/>
        <rFont val="微软雅黑"/>
        <family val="2"/>
        <charset val="134"/>
      </rPr>
      <t>右</t>
    </r>
    <r>
      <rPr>
        <sz val="11"/>
        <color theme="1"/>
        <rFont val="Consolas"/>
        <family val="3"/>
      </rPr>
      <t>Shift</t>
    </r>
    <r>
      <rPr>
        <sz val="11"/>
        <color theme="1"/>
        <rFont val="微软雅黑"/>
        <family val="2"/>
        <charset val="134"/>
      </rPr>
      <t>键</t>
    </r>
    <phoneticPr fontId="1" type="noConversion"/>
  </si>
  <si>
    <t>扩展标点变换</t>
    <phoneticPr fontId="1" type="noConversion"/>
  </si>
  <si>
    <r>
      <rPr>
        <sz val="11"/>
        <color rgb="FF0070C0"/>
        <rFont val="Consolas"/>
        <family val="3"/>
      </rPr>
      <t>.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微软雅黑"/>
        <family val="2"/>
        <charset val="134"/>
      </rPr>
      <t>。</t>
    </r>
    <r>
      <rPr>
        <sz val="11"/>
        <color rgb="FF00B050"/>
        <rFont val="新宋体"/>
        <family val="3"/>
        <charset val="134"/>
      </rPr>
      <t>←</t>
    </r>
    <r>
      <rPr>
        <sz val="11"/>
        <rFont val="微软雅黑"/>
        <family val="2"/>
        <charset val="134"/>
      </rPr>
      <t>℃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°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℉</t>
    </r>
    <phoneticPr fontId="1" type="noConversion"/>
  </si>
  <si>
    <t>：</t>
    <phoneticPr fontId="1" type="noConversion"/>
  </si>
  <si>
    <r>
      <rPr>
        <sz val="11"/>
        <color theme="1"/>
        <rFont val="微软雅黑"/>
        <family val="2"/>
        <charset val="134"/>
      </rPr>
      <t>单个/成对</t>
    </r>
    <r>
      <rPr>
        <sz val="11"/>
        <color theme="1"/>
        <rFont val="Consolas"/>
        <family val="3"/>
      </rPr>
      <t>"</t>
    </r>
    <r>
      <rPr>
        <sz val="11"/>
        <color theme="1"/>
        <rFont val="微软雅黑"/>
        <family val="2"/>
        <charset val="134"/>
      </rPr>
      <t>变换</t>
    </r>
    <phoneticPr fontId="1" type="noConversion"/>
  </si>
  <si>
    <r>
      <rPr>
        <sz val="11"/>
        <color theme="1"/>
        <rFont val="微软雅黑"/>
        <family val="2"/>
        <charset val="134"/>
      </rPr>
      <t>单个</t>
    </r>
    <r>
      <rPr>
        <sz val="11"/>
        <color theme="1"/>
        <rFont val="Consolas"/>
        <family val="3"/>
      </rPr>
      <t>"</t>
    </r>
    <r>
      <rPr>
        <sz val="11"/>
        <color theme="1"/>
        <rFont val="微软雅黑"/>
        <family val="2"/>
        <charset val="134"/>
      </rPr>
      <t>变换</t>
    </r>
    <phoneticPr fontId="1" type="noConversion"/>
  </si>
  <si>
    <r>
      <rPr>
        <sz val="11"/>
        <color theme="1"/>
        <rFont val="微软雅黑"/>
        <family val="2"/>
        <charset val="134"/>
      </rPr>
      <t>单个/成对</t>
    </r>
    <r>
      <rPr>
        <sz val="11"/>
        <color theme="1"/>
        <rFont val="Consolas"/>
        <family val="3"/>
      </rPr>
      <t>'</t>
    </r>
    <r>
      <rPr>
        <sz val="11"/>
        <color theme="1"/>
        <rFont val="微软雅黑"/>
        <family val="2"/>
        <charset val="134"/>
      </rPr>
      <t>变换</t>
    </r>
    <phoneticPr fontId="1" type="noConversion"/>
  </si>
  <si>
    <r>
      <rPr>
        <sz val="11"/>
        <color theme="1"/>
        <rFont val="微软雅黑"/>
        <family val="2"/>
        <charset val="134"/>
      </rPr>
      <t>单个</t>
    </r>
    <r>
      <rPr>
        <sz val="11"/>
        <color theme="1"/>
        <rFont val="Consolas"/>
        <family val="3"/>
      </rPr>
      <t>'</t>
    </r>
    <r>
      <rPr>
        <sz val="11"/>
        <color theme="1"/>
        <rFont val="微软雅黑"/>
        <family val="2"/>
        <charset val="134"/>
      </rPr>
      <t>变换</t>
    </r>
    <phoneticPr fontId="1" type="noConversion"/>
  </si>
  <si>
    <r>
      <rPr>
        <sz val="11"/>
        <rFont val="微软雅黑"/>
        <family val="2"/>
        <charset val="134"/>
      </rPr>
      <t>×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·</t>
    </r>
    <r>
      <rPr>
        <sz val="11"/>
        <color theme="6"/>
        <rFont val="Consolas"/>
        <family val="3"/>
      </rPr>
      <t>,</t>
    </r>
    <r>
      <rPr>
        <sz val="11"/>
        <color theme="5"/>
        <rFont val="宋体"/>
        <family val="3"/>
        <charset val="134"/>
      </rPr>
      <t>＊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∏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</si>
  <si>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|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theme="5"/>
        <rFont val="微软雅黑"/>
        <family val="2"/>
        <charset val="134"/>
      </rPr>
      <t>｜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1"/>
        <rFont val="微软雅黑"/>
        <family val="2"/>
        <charset val="134"/>
      </rPr>
      <t>↑</t>
    </r>
    <r>
      <rPr>
        <sz val="11"/>
        <color theme="6"/>
        <rFont val="Consolas"/>
        <family val="3"/>
      </rPr>
      <t>,</t>
    </r>
    <r>
      <rPr>
        <sz val="11"/>
        <color theme="1"/>
        <rFont val="Malgun Gothic Semilight"/>
        <family val="2"/>
        <charset val="134"/>
      </rPr>
      <t>↕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↓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‖</t>
    </r>
    <phoneticPr fontId="1" type="noConversion"/>
  </si>
  <si>
    <r>
      <rPr>
        <sz val="11"/>
        <color rgb="FF0070C0"/>
        <rFont val="Consolas"/>
        <family val="3"/>
      </rPr>
      <t>.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。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微软雅黑"/>
        <family val="2"/>
        <charset val="134"/>
      </rPr>
      <t>℃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°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℉</t>
    </r>
    <phoneticPr fontId="1" type="noConversion"/>
  </si>
  <si>
    <r>
      <rPr>
        <sz val="11"/>
        <color theme="5"/>
        <rFont val="微软雅黑"/>
        <family val="2"/>
        <charset val="134"/>
      </rPr>
      <t>－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¬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∨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∧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</si>
  <si>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theme="5"/>
        <rFont val="微软雅黑"/>
        <family val="2"/>
        <charset val="134"/>
      </rPr>
      <t>｜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↑</t>
    </r>
    <r>
      <rPr>
        <sz val="11"/>
        <color theme="6"/>
        <rFont val="Consolas"/>
        <family val="3"/>
      </rPr>
      <t>,</t>
    </r>
    <r>
      <rPr>
        <sz val="11"/>
        <color theme="1"/>
        <rFont val="Malgun Gothic Semilight"/>
        <family val="2"/>
        <charset val="134"/>
      </rPr>
      <t>↕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↓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‖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¦</t>
    </r>
    <phoneticPr fontId="1" type="noConversion"/>
  </si>
  <si>
    <r>
      <rPr>
        <sz val="11"/>
        <color rgb="FF0070C0"/>
        <rFont val="Consolas"/>
        <family val="3"/>
      </rPr>
      <t>[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【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〖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［</t>
    </r>
    <r>
      <rPr>
        <sz val="11"/>
        <color theme="6"/>
        <rFont val="Consolas"/>
        <family val="3"/>
      </rPr>
      <t/>
    </r>
    <phoneticPr fontId="1" type="noConversion"/>
  </si>
  <si>
    <t>【</t>
    <phoneticPr fontId="1" type="noConversion"/>
  </si>
  <si>
    <t>】</t>
    <phoneticPr fontId="1" type="noConversion"/>
  </si>
  <si>
    <t>原则：好记，归类；高频在前；高频键位舒适；高频Rime半角可见。</t>
    <phoneticPr fontId="1" type="noConversion"/>
  </si>
  <si>
    <r>
      <rPr>
        <sz val="11"/>
        <color rgb="FF0070C0"/>
        <rFont val="Consolas"/>
        <family val="3"/>
      </rPr>
      <t>@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●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©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®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™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○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№</t>
    </r>
    <phoneticPr fontId="1" type="noConversion"/>
  </si>
  <si>
    <r>
      <rPr>
        <sz val="11"/>
        <color theme="1"/>
        <rFont val="微软雅黑"/>
        <family val="2"/>
        <charset val="134"/>
      </rPr>
      <t>©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@</t>
    </r>
    <r>
      <rPr>
        <sz val="11"/>
        <color rgb="FF00B050"/>
        <rFont val="新宋体"/>
        <family val="3"/>
        <charset val="134"/>
      </rPr>
      <t>←</t>
    </r>
    <r>
      <rPr>
        <sz val="11"/>
        <rFont val="微软雅黑"/>
        <family val="2"/>
        <charset val="134"/>
      </rPr>
      <t>●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®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™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○</t>
    </r>
    <phoneticPr fontId="1" type="noConversion"/>
  </si>
  <si>
    <t>都有小圆圈</t>
    <phoneticPr fontId="1" type="noConversion"/>
  </si>
  <si>
    <t>意思或形状相近</t>
    <phoneticPr fontId="1" type="noConversion"/>
  </si>
  <si>
    <t>形状相近</t>
    <phoneticPr fontId="1" type="noConversion"/>
  </si>
  <si>
    <t>形状相近</t>
    <phoneticPr fontId="1" type="noConversion"/>
  </si>
  <si>
    <t>意思或形状相近</t>
    <phoneticPr fontId="1" type="noConversion"/>
  </si>
  <si>
    <t>和↑、↓等在同一个按键</t>
    <phoneticPr fontId="1" type="noConversion"/>
  </si>
  <si>
    <t>五角星放在数字5按键</t>
    <phoneticPr fontId="1" type="noConversion"/>
  </si>
  <si>
    <t>都有斜杠或开除之意</t>
    <phoneticPr fontId="1" type="noConversion"/>
  </si>
  <si>
    <t>货币符号</t>
    <phoneticPr fontId="1" type="noConversion"/>
  </si>
  <si>
    <t>都有警告之意</t>
    <phoneticPr fontId="1" type="noConversion"/>
  </si>
  <si>
    <t>形状相近</t>
    <phoneticPr fontId="1" type="noConversion"/>
  </si>
  <si>
    <t>^是Ctrl，键盘符号一类</t>
    <phoneticPr fontId="1" type="noConversion"/>
  </si>
  <si>
    <t>和苹果键盘布局一致</t>
    <phoneticPr fontId="1" type="noConversion"/>
  </si>
  <si>
    <t>按键在？旁，同是✔❌</t>
    <phoneticPr fontId="1" type="noConversion"/>
  </si>
  <si>
    <t>，号前后“属于”同一句</t>
    <phoneticPr fontId="1" type="noConversion"/>
  </si>
  <si>
    <t>和-号的∨∧在同一按键</t>
    <phoneticPr fontId="1" type="noConversion"/>
  </si>
  <si>
    <t>-即非，∨∧同属逻辑符号</t>
    <phoneticPr fontId="1" type="noConversion"/>
  </si>
  <si>
    <t>助记说明</t>
    <phoneticPr fontId="1" type="noConversion"/>
  </si>
  <si>
    <t>求和、累积之意</t>
    <phoneticPr fontId="1" type="noConversion"/>
  </si>
  <si>
    <t>大小写希腊文同一按键</t>
    <phoneticPr fontId="1" type="noConversion"/>
  </si>
  <si>
    <t>,</t>
    <phoneticPr fontId="1" type="noConversion"/>
  </si>
  <si>
    <t>)</t>
    <phoneticPr fontId="1" type="noConversion"/>
  </si>
  <si>
    <t>:</t>
    <phoneticPr fontId="1" type="noConversion"/>
  </si>
  <si>
    <t>=</t>
    <phoneticPr fontId="1" type="noConversion"/>
  </si>
  <si>
    <t>;</t>
    <phoneticPr fontId="1" type="noConversion"/>
  </si>
  <si>
    <t>}</t>
    <phoneticPr fontId="1" type="noConversion"/>
  </si>
  <si>
    <t>'</t>
    <phoneticPr fontId="1" type="noConversion"/>
  </si>
  <si>
    <t>[</t>
    <phoneticPr fontId="1" type="noConversion"/>
  </si>
  <si>
    <t>]</t>
    <phoneticPr fontId="1" type="noConversion"/>
  </si>
  <si>
    <t>`</t>
    <phoneticPr fontId="1" type="noConversion"/>
  </si>
  <si>
    <t>?</t>
    <phoneticPr fontId="1" type="noConversion"/>
  </si>
  <si>
    <t>!</t>
    <phoneticPr fontId="1" type="noConversion"/>
  </si>
  <si>
    <t>@</t>
    <phoneticPr fontId="1" type="noConversion"/>
  </si>
  <si>
    <t>%</t>
    <phoneticPr fontId="1" type="noConversion"/>
  </si>
  <si>
    <t>^</t>
    <phoneticPr fontId="1" type="noConversion"/>
  </si>
  <si>
    <t>英文  数字</t>
    <phoneticPr fontId="1" type="noConversion"/>
  </si>
  <si>
    <r>
      <rPr>
        <sz val="11"/>
        <rFont val="微软雅黑"/>
        <family val="2"/>
        <charset val="134"/>
      </rPr>
      <t>×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*</t>
    </r>
    <r>
      <rPr>
        <sz val="11"/>
        <color rgb="FF00B050"/>
        <rFont val="新宋体"/>
        <family val="3"/>
        <charset val="134"/>
      </rPr>
      <t>←</t>
    </r>
    <r>
      <rPr>
        <sz val="11"/>
        <rFont val="Consolas"/>
        <family val="3"/>
      </rPr>
      <t>·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＊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∏</t>
    </r>
    <phoneticPr fontId="1" type="noConversion"/>
  </si>
  <si>
    <r>
      <rPr>
        <sz val="11"/>
        <color rgb="FFFF0000"/>
        <rFont val="Malgun Gothic Semilight"/>
        <family val="2"/>
        <charset val="134"/>
      </rPr>
      <t>、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\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1"/>
        <rFont val="微软雅黑"/>
        <family val="2"/>
        <charset val="134"/>
      </rPr>
      <t>→</t>
    </r>
    <r>
      <rPr>
        <sz val="11"/>
        <color theme="6"/>
        <rFont val="Consolas"/>
        <family val="3"/>
      </rPr>
      <t>,</t>
    </r>
    <r>
      <rPr>
        <sz val="11"/>
        <color theme="1"/>
        <rFont val="Malgun Gothic Semilight"/>
        <family val="2"/>
        <charset val="134"/>
      </rPr>
      <t>↔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←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＼</t>
    </r>
    <phoneticPr fontId="1" type="noConversion"/>
  </si>
  <si>
    <r>
      <rPr>
        <sz val="11"/>
        <color rgb="FF0070C0"/>
        <rFont val="Consolas"/>
        <family val="3"/>
      </rPr>
      <t>\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、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微软雅黑"/>
        <family val="2"/>
        <charset val="134"/>
      </rPr>
      <t>→</t>
    </r>
    <r>
      <rPr>
        <sz val="11"/>
        <color theme="6"/>
        <rFont val="Consolas"/>
        <family val="3"/>
      </rPr>
      <t>,</t>
    </r>
    <r>
      <rPr>
        <sz val="11"/>
        <color theme="1"/>
        <rFont val="Malgun Gothic Semilight"/>
        <family val="2"/>
        <charset val="134"/>
      </rPr>
      <t>↔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←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＼</t>
    </r>
    <phoneticPr fontId="1" type="noConversion"/>
  </si>
  <si>
    <t>快捷键：</t>
    <phoneticPr fontId="1" type="noConversion"/>
  </si>
  <si>
    <r>
      <t>2</t>
    </r>
    <r>
      <rPr>
        <sz val="11"/>
        <color theme="6"/>
        <rFont val="Consolas"/>
        <family val="3"/>
      </rPr>
      <t>,</t>
    </r>
    <r>
      <rPr>
        <sz val="11"/>
        <rFont val="Malgun Gothic Semilight"/>
        <family val="2"/>
        <charset val="134"/>
      </rPr>
      <t>₂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²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➁</t>
    </r>
    <phoneticPr fontId="1" type="noConversion"/>
  </si>
  <si>
    <r>
      <rPr>
        <sz val="11"/>
        <color theme="1"/>
        <rFont val="微软雅黑"/>
        <family val="2"/>
        <charset val="134"/>
      </rPr>
      <t>Ⅱ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ⅱ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➋</t>
    </r>
    <phoneticPr fontId="1" type="noConversion"/>
  </si>
  <si>
    <t>左Win+左Shift 轮换</t>
    <phoneticPr fontId="1" type="noConversion"/>
  </si>
  <si>
    <t>左Win+右Shift 轮换</t>
    <phoneticPr fontId="1" type="noConversion"/>
  </si>
  <si>
    <t>(</t>
    <phoneticPr fontId="1" type="noConversion"/>
  </si>
  <si>
    <r>
      <rPr>
        <sz val="11"/>
        <rFont val="微软雅黑"/>
        <family val="2"/>
        <charset val="134"/>
      </rPr>
      <t>单个</t>
    </r>
    <r>
      <rPr>
        <sz val="11"/>
        <rFont val="Consolas"/>
        <family val="3"/>
      </rPr>
      <t>/</t>
    </r>
    <r>
      <rPr>
        <sz val="11"/>
        <rFont val="微软雅黑"/>
        <family val="2"/>
        <charset val="134"/>
      </rPr>
      <t>成对变换</t>
    </r>
    <phoneticPr fontId="1" type="noConversion"/>
  </si>
  <si>
    <r>
      <rPr>
        <sz val="11"/>
        <color rgb="FF0070C0"/>
        <rFont val="Consolas"/>
        <family val="3"/>
      </rPr>
      <t>,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，</t>
    </r>
    <r>
      <rPr>
        <sz val="11"/>
        <color rgb="FF00B050"/>
        <rFont val="新宋体"/>
        <family val="3"/>
        <charset val="134"/>
      </rPr>
      <t>→</t>
    </r>
    <r>
      <rPr>
        <sz val="11"/>
        <rFont val="微软雅黑"/>
        <family val="2"/>
        <charset val="134"/>
      </rPr>
      <t>∈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  <charset val="128"/>
      </rPr>
      <t>⊆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  <charset val="128"/>
      </rPr>
      <t>⊂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</si>
  <si>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theme="1"/>
        <rFont val="微软雅黑"/>
        <family val="2"/>
        <charset val="134"/>
      </rPr>
      <t>单个</t>
    </r>
    <r>
      <rPr>
        <sz val="11"/>
        <color theme="1"/>
        <rFont val="Consolas"/>
        <family val="3"/>
      </rPr>
      <t>/</t>
    </r>
    <r>
      <rPr>
        <sz val="11"/>
        <color theme="1"/>
        <rFont val="微软雅黑"/>
        <family val="2"/>
        <charset val="134"/>
      </rPr>
      <t>成对变换</t>
    </r>
    <phoneticPr fontId="1" type="noConversion"/>
  </si>
  <si>
    <t>单个/成对变换</t>
    <phoneticPr fontId="1" type="noConversion"/>
  </si>
  <si>
    <r>
      <rPr>
        <sz val="11"/>
        <color theme="1"/>
        <rFont val="微软雅黑"/>
        <family val="2"/>
        <charset val="134"/>
      </rPr>
      <t>单个</t>
    </r>
    <r>
      <rPr>
        <sz val="11"/>
        <color theme="1"/>
        <rFont val="Consolas"/>
        <family val="3"/>
      </rPr>
      <t>/</t>
    </r>
    <r>
      <rPr>
        <sz val="11"/>
        <color theme="1"/>
        <rFont val="微软雅黑"/>
        <family val="2"/>
        <charset val="134"/>
      </rPr>
      <t>成对变换</t>
    </r>
    <phoneticPr fontId="1" type="noConversion"/>
  </si>
  <si>
    <t>都是小点点或比例</t>
    <phoneticPr fontId="1" type="noConversion"/>
  </si>
  <si>
    <r>
      <rPr>
        <sz val="11"/>
        <color rgb="FF0070C0"/>
        <rFont val="Consolas"/>
        <family val="3"/>
      </rPr>
      <t>: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微软雅黑"/>
        <family val="2"/>
        <charset val="134"/>
      </rPr>
      <t>：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1"/>
        <rFont val="微软雅黑"/>
        <family val="2"/>
        <charset val="134"/>
      </rPr>
      <t>∵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∴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∝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∷</t>
    </r>
    <phoneticPr fontId="1" type="noConversion"/>
  </si>
  <si>
    <r>
      <rPr>
        <sz val="11"/>
        <rFont val="微软雅黑"/>
        <family val="2"/>
        <charset val="134"/>
      </rPr>
      <t>单个</t>
    </r>
    <r>
      <rPr>
        <sz val="11"/>
        <rFont val="Consolas"/>
        <family val="3"/>
      </rPr>
      <t>/</t>
    </r>
    <r>
      <rPr>
        <sz val="11"/>
        <rFont val="微软雅黑"/>
        <family val="2"/>
        <charset val="134"/>
      </rPr>
      <t>成对变换</t>
    </r>
    <phoneticPr fontId="1" type="noConversion"/>
  </si>
  <si>
    <t>单个/成对变换</t>
    <phoneticPr fontId="1" type="noConversion"/>
  </si>
  <si>
    <t>单个/成对变换</t>
    <phoneticPr fontId="1" type="noConversion"/>
  </si>
  <si>
    <t>单个/成对变换</t>
    <phoneticPr fontId="1" type="noConversion"/>
  </si>
  <si>
    <r>
      <rPr>
        <sz val="11"/>
        <color rgb="FF0070C0"/>
        <rFont val="Consolas"/>
        <family val="3"/>
      </rPr>
      <t>,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Malgun Gothic Semilight"/>
        <family val="2"/>
        <charset val="134"/>
      </rPr>
      <t>，</t>
    </r>
    <r>
      <rPr>
        <sz val="11"/>
        <color rgb="FF00B050"/>
        <rFont val="新宋体"/>
        <family val="3"/>
        <charset val="134"/>
      </rPr>
      <t>←</t>
    </r>
    <r>
      <rPr>
        <sz val="11"/>
        <rFont val="微软雅黑"/>
        <family val="2"/>
        <charset val="134"/>
      </rPr>
      <t>∈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  <charset val="128"/>
      </rPr>
      <t>⊆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</rPr>
      <t>⊂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</si>
  <si>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FF0000"/>
        <rFont val="微软雅黑"/>
        <family val="2"/>
        <charset val="134"/>
      </rPr>
      <t>，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∈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  <charset val="128"/>
      </rPr>
      <t>⊆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  <charset val="128"/>
      </rPr>
      <t>⊂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</si>
  <si>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(</t>
    </r>
    <r>
      <rPr>
        <sz val="11"/>
        <color rgb="FF00B050"/>
        <rFont val="Malgun Gothic"/>
        <family val="2"/>
        <charset val="129"/>
      </rPr>
      <t>↔</t>
    </r>
    <r>
      <rPr>
        <sz val="11"/>
        <color rgb="FFFF0000"/>
        <rFont val="微软雅黑"/>
        <family val="2"/>
        <charset val="134"/>
      </rPr>
      <t>（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FF0000"/>
        <rFont val="微软雅黑"/>
        <family val="2"/>
        <charset val="134"/>
      </rPr>
      <t>〔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〘</t>
    </r>
    <phoneticPr fontId="1" type="noConversion"/>
  </si>
  <si>
    <r>
      <rPr>
        <sz val="11"/>
        <color rgb="FFFF0000"/>
        <rFont val="微软雅黑"/>
        <family val="2"/>
        <charset val="134"/>
      </rPr>
      <t>——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␣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∪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∩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</si>
  <si>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rFont val="Consolas"/>
        <family val="3"/>
      </rPr>
      <t>π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`</t>
    </r>
    <r>
      <rPr>
        <sz val="11"/>
        <color rgb="FF00B050"/>
        <rFont val="新宋体"/>
        <family val="3"/>
        <charset val="134"/>
      </rPr>
      <t>←</t>
    </r>
    <r>
      <rPr>
        <sz val="11"/>
        <rFont val="Consolas"/>
        <family val="3"/>
      </rPr>
      <t>α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β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γ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λ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μ</t>
    </r>
    <phoneticPr fontId="1" type="noConversion"/>
  </si>
  <si>
    <r>
      <rPr>
        <sz val="11"/>
        <color rgb="FF0070C0"/>
        <rFont val="Consolas"/>
        <family val="3"/>
      </rPr>
      <t>`</t>
    </r>
    <r>
      <rPr>
        <sz val="11"/>
        <color theme="6"/>
        <rFont val="Consolas"/>
        <family val="3"/>
      </rPr>
      <t>/</t>
    </r>
    <r>
      <rPr>
        <sz val="11"/>
        <rFont val="Consolas"/>
        <family val="3"/>
      </rPr>
      <t>π</t>
    </r>
    <r>
      <rPr>
        <sz val="11"/>
        <color rgb="FF00B050"/>
        <rFont val="新宋体"/>
        <family val="3"/>
        <charset val="134"/>
      </rPr>
      <t>→</t>
    </r>
    <r>
      <rPr>
        <sz val="11"/>
        <rFont val="Consolas"/>
        <family val="3"/>
      </rPr>
      <t>α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β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γ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λ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μ</t>
    </r>
    <phoneticPr fontId="1" type="noConversion"/>
  </si>
  <si>
    <r>
      <rPr>
        <sz val="11"/>
        <color rgb="FFFF0000"/>
        <rFont val="新宋体"/>
        <family val="3"/>
        <charset val="134"/>
      </rPr>
      <t>～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~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1"/>
        <rFont val="Consolas"/>
        <family val="3"/>
      </rPr>
      <t>Δ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Ω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Θ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Λ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Φ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</si>
  <si>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0070C0"/>
        <rFont val="Consolas"/>
        <family val="3"/>
      </rPr>
      <t>~</t>
    </r>
    <r>
      <rPr>
        <sz val="11"/>
        <color theme="6"/>
        <rFont val="Consolas"/>
        <family val="3"/>
      </rPr>
      <t>/</t>
    </r>
    <r>
      <rPr>
        <sz val="11"/>
        <color rgb="FFFF0000"/>
        <rFont val="新宋体"/>
        <family val="3"/>
        <charset val="134"/>
      </rPr>
      <t>～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Consolas"/>
        <family val="3"/>
      </rPr>
      <t>Δ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Ω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Θ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Λ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Φ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</si>
  <si>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FF0000"/>
        <rFont val="新宋体"/>
        <family val="3"/>
        <charset val="134"/>
      </rPr>
      <t>～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Δ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Ω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Θ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Λ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Φ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</si>
  <si>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FF0000"/>
        <rFont val="微软雅黑"/>
        <family val="2"/>
        <charset val="134"/>
      </rPr>
      <t>￥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$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5"/>
        <rFont val="微软雅黑"/>
        <family val="2"/>
        <charset val="134"/>
      </rPr>
      <t>＄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¥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€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£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¢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¤</t>
    </r>
    <phoneticPr fontId="1" type="noConversion"/>
  </si>
  <si>
    <r>
      <rPr>
        <sz val="11"/>
        <color rgb="FF0070C0"/>
        <rFont val="Consolas"/>
        <family val="3"/>
      </rPr>
      <t>|</t>
    </r>
    <r>
      <rPr>
        <sz val="11"/>
        <color theme="6"/>
        <rFont val="Consolas"/>
        <family val="3"/>
      </rPr>
      <t>/</t>
    </r>
    <r>
      <rPr>
        <sz val="11"/>
        <color theme="5"/>
        <rFont val="微软雅黑"/>
        <family val="2"/>
        <charset val="134"/>
      </rPr>
      <t>｜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微软雅黑"/>
        <family val="2"/>
        <charset val="134"/>
      </rPr>
      <t>↑</t>
    </r>
    <r>
      <rPr>
        <sz val="11"/>
        <color theme="6"/>
        <rFont val="Consolas"/>
        <family val="3"/>
      </rPr>
      <t>,</t>
    </r>
    <r>
      <rPr>
        <sz val="11"/>
        <color theme="1"/>
        <rFont val="Malgun Gothic Semilight"/>
        <family val="2"/>
        <charset val="134"/>
      </rPr>
      <t>↕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↓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‖</t>
    </r>
    <phoneticPr fontId="1" type="noConversion"/>
  </si>
  <si>
    <r>
      <rPr>
        <sz val="11"/>
        <color rgb="FF0070C0"/>
        <rFont val="Consolas"/>
        <family val="3"/>
      </rPr>
      <t>$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￥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5"/>
        <rFont val="微软雅黑"/>
        <family val="2"/>
        <charset val="134"/>
      </rPr>
      <t>＄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¥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€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£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¢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¤</t>
    </r>
    <phoneticPr fontId="1" type="noConversion"/>
  </si>
  <si>
    <t>信息、也有“和”的意思</t>
    <phoneticPr fontId="1" type="noConversion"/>
  </si>
  <si>
    <r>
      <rPr>
        <sz val="11"/>
        <color rgb="FF0070C0"/>
        <rFont val="Consolas"/>
        <family val="3"/>
      </rPr>
      <t>@</t>
    </r>
    <r>
      <rPr>
        <sz val="11"/>
        <color theme="6"/>
        <rFont val="Consolas"/>
        <family val="3"/>
      </rPr>
      <t>/</t>
    </r>
    <r>
      <rPr>
        <sz val="11"/>
        <color theme="1"/>
        <rFont val="微软雅黑"/>
        <family val="2"/>
        <charset val="134"/>
      </rPr>
      <t>©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微软雅黑"/>
        <family val="2"/>
        <charset val="134"/>
      </rPr>
      <t>●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®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™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○</t>
    </r>
    <phoneticPr fontId="1" type="noConversion"/>
  </si>
  <si>
    <r>
      <rPr>
        <sz val="11"/>
        <color rgb="FF0070C0"/>
        <rFont val="Consolas"/>
        <family val="3"/>
      </rPr>
      <t>*</t>
    </r>
    <r>
      <rPr>
        <sz val="11"/>
        <color theme="6"/>
        <rFont val="Consolas"/>
        <family val="3"/>
      </rPr>
      <t>/</t>
    </r>
    <r>
      <rPr>
        <sz val="11"/>
        <rFont val="微软雅黑"/>
        <family val="2"/>
        <charset val="134"/>
      </rPr>
      <t>×</t>
    </r>
    <r>
      <rPr>
        <sz val="11"/>
        <color rgb="FF00B050"/>
        <rFont val="新宋体"/>
        <family val="3"/>
        <charset val="134"/>
      </rPr>
      <t>→</t>
    </r>
    <r>
      <rPr>
        <sz val="11"/>
        <rFont val="微软雅黑"/>
        <family val="2"/>
        <charset val="134"/>
      </rPr>
      <t>·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＊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∏</t>
    </r>
    <phoneticPr fontId="1" type="noConversion"/>
  </si>
  <si>
    <r>
      <rPr>
        <sz val="11"/>
        <color rgb="FFFF0000"/>
        <rFont val="微软雅黑"/>
        <family val="2"/>
        <charset val="134"/>
      </rPr>
      <t>￥</t>
    </r>
    <r>
      <rPr>
        <sz val="11"/>
        <color theme="6"/>
        <rFont val="Consolas"/>
        <family val="3"/>
      </rPr>
      <t>,</t>
    </r>
    <r>
      <rPr>
        <sz val="11"/>
        <color rgb="FF0070C0"/>
        <rFont val="Consolas"/>
        <family val="3"/>
      </rPr>
      <t>$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＄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¥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€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£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¢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¤</t>
    </r>
    <phoneticPr fontId="1" type="noConversion"/>
  </si>
  <si>
    <r>
      <rPr>
        <sz val="11"/>
        <color rgb="FFFF0000"/>
        <rFont val="微软雅黑"/>
        <family val="2"/>
        <charset val="134"/>
      </rPr>
      <t>——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_</t>
    </r>
    <r>
      <rPr>
        <sz val="11"/>
        <color rgb="FF00B050"/>
        <rFont val="新宋体"/>
        <family val="3"/>
        <charset val="134"/>
      </rPr>
      <t>←</t>
    </r>
    <r>
      <rPr>
        <sz val="11"/>
        <rFont val="Consolas"/>
        <family val="3"/>
      </rPr>
      <t>␣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∪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∩</t>
    </r>
    <phoneticPr fontId="1" type="noConversion"/>
  </si>
  <si>
    <r>
      <rPr>
        <sz val="11"/>
        <color rgb="FF0070C0"/>
        <rFont val="Consolas"/>
        <family val="3"/>
      </rPr>
      <t>_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——</t>
    </r>
    <r>
      <rPr>
        <sz val="11"/>
        <color rgb="FF00B050"/>
        <rFont val="新宋体"/>
        <family val="3"/>
        <charset val="134"/>
      </rPr>
      <t>→</t>
    </r>
    <r>
      <rPr>
        <sz val="11"/>
        <rFont val="Consolas"/>
        <family val="3"/>
      </rPr>
      <t>␣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∪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∩</t>
    </r>
    <phoneticPr fontId="1" type="noConversion"/>
  </si>
  <si>
    <r>
      <rPr>
        <sz val="11"/>
        <color rgb="FF0070C0"/>
        <rFont val="Consolas"/>
        <family val="3"/>
      </rPr>
      <t>: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：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微软雅黑"/>
        <family val="2"/>
        <charset val="134"/>
      </rPr>
      <t>∵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∴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∝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∷</t>
    </r>
    <phoneticPr fontId="1" type="noConversion"/>
  </si>
  <si>
    <r>
      <rPr>
        <sz val="11"/>
        <color rgb="FFFF0000"/>
        <rFont val="微软雅黑"/>
        <family val="2"/>
        <charset val="134"/>
      </rPr>
      <t>：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∵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∴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∝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∷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</si>
  <si>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/</t>
    </r>
    <r>
      <rPr>
        <sz val="11"/>
        <color theme="6"/>
        <rFont val="Consolas"/>
        <family val="3"/>
      </rPr>
      <t>/</t>
    </r>
    <r>
      <rPr>
        <sz val="11"/>
        <rFont val="微软雅黑"/>
        <family val="2"/>
        <charset val="134"/>
      </rPr>
      <t>÷</t>
    </r>
    <r>
      <rPr>
        <sz val="11"/>
        <color rgb="FF00B050"/>
        <rFont val="新宋体"/>
        <family val="3"/>
        <charset val="134"/>
      </rPr>
      <t>→</t>
    </r>
    <r>
      <rPr>
        <sz val="11"/>
        <rFont val="微软雅黑"/>
        <family val="2"/>
        <charset val="134"/>
      </rPr>
      <t>√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／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≠</t>
    </r>
    <phoneticPr fontId="1" type="noConversion"/>
  </si>
  <si>
    <r>
      <rPr>
        <sz val="11"/>
        <color rgb="FF0070C0"/>
        <rFont val="Consolas"/>
        <family val="3"/>
      </rPr>
      <t>/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√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÷</t>
    </r>
    <phoneticPr fontId="1" type="noConversion"/>
  </si>
  <si>
    <r>
      <rPr>
        <sz val="11"/>
        <color theme="5"/>
        <rFont val="微软雅黑"/>
        <family val="2"/>
        <charset val="134"/>
      </rPr>
      <t>＋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∑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±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∮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</si>
  <si>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theme="1"/>
        <rFont val="Segoe UI Symbol"/>
        <family val="2"/>
      </rPr>
      <t>⌫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-</t>
    </r>
    <r>
      <rPr>
        <sz val="11"/>
        <color rgb="FF00B050"/>
        <rFont val="新宋体"/>
        <family val="3"/>
        <charset val="134"/>
      </rPr>
      <t>←</t>
    </r>
    <r>
      <rPr>
        <sz val="11"/>
        <rFont val="新宋体"/>
        <family val="3"/>
        <charset val="134"/>
      </rPr>
      <t>¬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∨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∧</t>
    </r>
    <phoneticPr fontId="1" type="noConversion"/>
  </si>
  <si>
    <r>
      <rPr>
        <sz val="11"/>
        <color rgb="FF0070C0"/>
        <rFont val="Consolas"/>
        <family val="3"/>
      </rPr>
      <t>-</t>
    </r>
    <r>
      <rPr>
        <sz val="11"/>
        <color theme="6"/>
        <rFont val="Consolas"/>
        <family val="3"/>
      </rPr>
      <t>/</t>
    </r>
    <r>
      <rPr>
        <sz val="11"/>
        <rFont val="Segoe UI Symbol"/>
        <family val="2"/>
      </rPr>
      <t>⌫</t>
    </r>
    <r>
      <rPr>
        <sz val="11"/>
        <color rgb="FF00B050"/>
        <rFont val="新宋体"/>
        <family val="3"/>
        <charset val="134"/>
      </rPr>
      <t>→</t>
    </r>
    <r>
      <rPr>
        <sz val="11"/>
        <rFont val="新宋体"/>
        <family val="3"/>
        <charset val="134"/>
      </rPr>
      <t>¬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∨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∧</t>
    </r>
    <phoneticPr fontId="1" type="noConversion"/>
  </si>
  <si>
    <r>
      <rPr>
        <sz val="11"/>
        <color theme="1"/>
        <rFont val="Segoe UI Symbol"/>
        <family val="2"/>
      </rPr>
      <t>↩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+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1"/>
        <rFont val="微软雅黑"/>
        <family val="2"/>
        <charset val="134"/>
      </rPr>
      <t>∑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±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∮</t>
    </r>
    <phoneticPr fontId="1" type="noConversion"/>
  </si>
  <si>
    <r>
      <rPr>
        <sz val="11"/>
        <color rgb="FF0070C0"/>
        <rFont val="Consolas"/>
        <family val="3"/>
      </rPr>
      <t>+</t>
    </r>
    <r>
      <rPr>
        <sz val="11"/>
        <color theme="6"/>
        <rFont val="Consolas"/>
        <family val="3"/>
      </rPr>
      <t>/</t>
    </r>
    <r>
      <rPr>
        <sz val="11"/>
        <color theme="1"/>
        <rFont val="Segoe UI Symbol"/>
        <family val="2"/>
      </rPr>
      <t>↩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微软雅黑"/>
        <family val="2"/>
        <charset val="134"/>
      </rPr>
      <t>∑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±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∮</t>
    </r>
    <phoneticPr fontId="1" type="noConversion"/>
  </si>
  <si>
    <r>
      <rPr>
        <sz val="11"/>
        <color rgb="FF0070C0"/>
        <rFont val="Consolas"/>
        <family val="3"/>
      </rPr>
      <t>^</t>
    </r>
    <r>
      <rPr>
        <sz val="11"/>
        <color theme="6"/>
        <rFont val="Consolas"/>
        <family val="3"/>
      </rPr>
      <t>/</t>
    </r>
    <r>
      <rPr>
        <sz val="11"/>
        <color rgb="FFFF0000"/>
        <rFont val="Consolas"/>
        <family val="3"/>
      </rPr>
      <t>……</t>
    </r>
    <r>
      <rPr>
        <sz val="11"/>
        <color rgb="FF00B050"/>
        <rFont val="新宋体"/>
        <family val="3"/>
        <charset val="134"/>
      </rPr>
      <t>→</t>
    </r>
    <r>
      <rPr>
        <sz val="11"/>
        <color theme="1"/>
        <rFont val="Segoe UI Symbol"/>
        <family val="2"/>
      </rPr>
      <t>⌘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⇧</t>
    </r>
    <r>
      <rPr>
        <sz val="11"/>
        <color theme="6"/>
        <rFont val="Consolas"/>
        <family val="3"/>
      </rPr>
      <t>,</t>
    </r>
    <r>
      <rPr>
        <sz val="11"/>
        <color theme="1"/>
        <rFont val="Segoe UI Symbol"/>
        <family val="2"/>
      </rPr>
      <t>⌥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⇥</t>
    </r>
    <phoneticPr fontId="1" type="noConversion"/>
  </si>
  <si>
    <r>
      <rPr>
        <sz val="11"/>
        <color rgb="FF0070C0"/>
        <rFont val="Consolas"/>
        <family val="3"/>
      </rPr>
      <t>^</t>
    </r>
    <r>
      <rPr>
        <sz val="11"/>
        <color theme="6"/>
        <rFont val="Consolas"/>
        <family val="3"/>
      </rPr>
      <t>,</t>
    </r>
    <r>
      <rPr>
        <sz val="11"/>
        <color rgb="FFFF0000"/>
        <rFont val="Consolas"/>
        <family val="3"/>
      </rPr>
      <t>……</t>
    </r>
    <r>
      <rPr>
        <sz val="11"/>
        <color theme="6"/>
        <rFont val="Consolas"/>
        <family val="3"/>
      </rPr>
      <t>,</t>
    </r>
    <r>
      <rPr>
        <sz val="11"/>
        <color theme="1"/>
        <rFont val="Segoe UI Symbol"/>
        <family val="2"/>
      </rPr>
      <t>⌘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⇧</t>
    </r>
    <r>
      <rPr>
        <sz val="11"/>
        <color theme="6"/>
        <rFont val="Consolas"/>
        <family val="3"/>
      </rPr>
      <t>,</t>
    </r>
    <r>
      <rPr>
        <sz val="11"/>
        <color theme="1"/>
        <rFont val="Segoe UI Symbol"/>
        <family val="2"/>
      </rPr>
      <t>⌥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⇥</t>
    </r>
    <phoneticPr fontId="1" type="noConversion"/>
  </si>
  <si>
    <r>
      <rPr>
        <sz val="11"/>
        <color rgb="FF0070C0"/>
        <rFont val="Consolas"/>
        <family val="3"/>
      </rPr>
      <t>#</t>
    </r>
    <r>
      <rPr>
        <sz val="11"/>
        <color theme="6"/>
        <rFont val="Consolas"/>
        <family val="3"/>
      </rPr>
      <t>/</t>
    </r>
    <r>
      <rPr>
        <sz val="11"/>
        <rFont val="Consolas"/>
        <family val="3"/>
      </rPr>
      <t>§</t>
    </r>
    <r>
      <rPr>
        <sz val="11"/>
        <color rgb="FF00B050"/>
        <rFont val="新宋体"/>
        <family val="3"/>
        <charset val="134"/>
      </rPr>
      <t>→</t>
    </r>
    <r>
      <rPr>
        <sz val="11"/>
        <rFont val="微软雅黑"/>
        <family val="2"/>
        <charset val="134"/>
      </rPr>
      <t>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◆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◇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□</t>
    </r>
    <phoneticPr fontId="1" type="noConversion"/>
  </si>
  <si>
    <r>
      <rPr>
        <sz val="11"/>
        <color rgb="FFFF0000"/>
        <rFont val="微软雅黑"/>
        <family val="2"/>
        <charset val="134"/>
      </rPr>
      <t>【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[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FF0000"/>
        <rFont val="微软雅黑"/>
        <family val="2"/>
        <charset val="134"/>
      </rPr>
      <t>〖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［</t>
    </r>
    <phoneticPr fontId="1" type="noConversion"/>
  </si>
  <si>
    <r>
      <rPr>
        <sz val="11"/>
        <rFont val="微软雅黑"/>
        <family val="2"/>
        <charset val="134"/>
      </rPr>
      <t>÷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/</t>
    </r>
    <r>
      <rPr>
        <sz val="11"/>
        <color rgb="FF00B050"/>
        <rFont val="新宋体"/>
        <family val="3"/>
        <charset val="134"/>
      </rPr>
      <t>←</t>
    </r>
    <r>
      <rPr>
        <sz val="11"/>
        <rFont val="微软雅黑"/>
        <family val="2"/>
        <charset val="134"/>
      </rPr>
      <t>√</t>
    </r>
    <r>
      <rPr>
        <sz val="11"/>
        <color theme="6"/>
        <rFont val="Consolas"/>
        <family val="3"/>
      </rPr>
      <t>,</t>
    </r>
    <r>
      <rPr>
        <sz val="11"/>
        <color theme="5"/>
        <rFont val="新宋体"/>
        <family val="3"/>
        <charset val="134"/>
      </rPr>
      <t>／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≠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</si>
  <si>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0070C0"/>
        <rFont val="Consolas"/>
        <family val="3"/>
      </rPr>
      <t>(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（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FF0000"/>
        <rFont val="微软雅黑"/>
        <family val="2"/>
        <charset val="134"/>
      </rPr>
      <t>〔</t>
    </r>
    <r>
      <rPr>
        <sz val="11"/>
        <color theme="6"/>
        <rFont val="Consolas"/>
        <family val="3"/>
      </rPr>
      <t>,</t>
    </r>
    <r>
      <rPr>
        <sz val="11"/>
        <color rgb="FFFF0000"/>
        <rFont val="微软雅黑"/>
        <family val="2"/>
        <charset val="134"/>
      </rPr>
      <t>〘</t>
    </r>
    <phoneticPr fontId="1" type="noConversion"/>
  </si>
  <si>
    <r>
      <rPr>
        <sz val="11"/>
        <color rgb="FF0070C0"/>
        <rFont val="Consolas"/>
        <family val="3"/>
      </rPr>
      <t>{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微软雅黑"/>
        <family val="2"/>
        <charset val="134"/>
      </rPr>
      <t>「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FF0000"/>
        <rFont val="微软雅黑"/>
        <family val="2"/>
        <charset val="134"/>
      </rPr>
      <t>『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｛</t>
    </r>
    <phoneticPr fontId="1" type="noConversion"/>
  </si>
  <si>
    <r>
      <rPr>
        <sz val="11"/>
        <color rgb="FF0070C0"/>
        <rFont val="Consolas"/>
        <family val="3"/>
      </rPr>
      <t>{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「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FF0000"/>
        <rFont val="微软雅黑"/>
        <family val="2"/>
        <charset val="134"/>
      </rPr>
      <t>『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｛</t>
    </r>
    <phoneticPr fontId="1" type="noConversion"/>
  </si>
  <si>
    <r>
      <rPr>
        <sz val="11"/>
        <color rgb="FF0070C0"/>
        <rFont val="Consolas"/>
        <family val="3"/>
      </rPr>
      <t>&lt;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微软雅黑"/>
        <family val="2"/>
        <charset val="134"/>
      </rPr>
      <t>《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FF0000"/>
        <rFont val="微软雅黑"/>
        <family val="2"/>
        <charset val="134"/>
      </rPr>
      <t>〈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≤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‹</t>
    </r>
    <phoneticPr fontId="1" type="noConversion"/>
  </si>
  <si>
    <r>
      <rPr>
        <sz val="11"/>
        <color rgb="FF0070C0"/>
        <rFont val="Consolas"/>
        <family val="3"/>
      </rPr>
      <t>&lt;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《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FF0000"/>
        <rFont val="微软雅黑"/>
        <family val="2"/>
        <charset val="134"/>
      </rPr>
      <t>〈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≤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‹</t>
    </r>
    <phoneticPr fontId="1" type="noConversion"/>
  </si>
  <si>
    <r>
      <rPr>
        <sz val="11"/>
        <color rgb="FF0070C0"/>
        <rFont val="Consolas"/>
        <family val="3"/>
      </rPr>
      <t>[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【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FF0000"/>
        <rFont val="微软雅黑"/>
        <family val="2"/>
        <charset val="134"/>
      </rPr>
      <t>〖</t>
    </r>
    <r>
      <rPr>
        <sz val="11"/>
        <color theme="6"/>
        <rFont val="Consolas"/>
        <family val="3"/>
      </rPr>
      <t>,</t>
    </r>
    <r>
      <rPr>
        <sz val="11"/>
        <color theme="5"/>
        <rFont val="微软雅黑"/>
        <family val="2"/>
        <charset val="134"/>
      </rPr>
      <t>［</t>
    </r>
    <phoneticPr fontId="1" type="noConversion"/>
  </si>
  <si>
    <r>
      <rPr>
        <sz val="11"/>
        <color rgb="FF0070C0"/>
        <rFont val="Consolas"/>
        <family val="3"/>
      </rPr>
      <t>;</t>
    </r>
    <r>
      <rPr>
        <sz val="11"/>
        <color theme="6"/>
        <rFont val="Consolas"/>
        <family val="3"/>
      </rPr>
      <t>/</t>
    </r>
    <r>
      <rPr>
        <sz val="11"/>
        <color rgb="FFFF0000"/>
        <rFont val="微软雅黑"/>
        <family val="2"/>
        <charset val="134"/>
      </rPr>
      <t>；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00B050"/>
        <rFont val="Segoe UI Emoji"/>
        <family val="2"/>
      </rPr>
      <t>✅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☐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☑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☒</t>
    </r>
    <phoneticPr fontId="1" type="noConversion"/>
  </si>
  <si>
    <r>
      <rPr>
        <sz val="11"/>
        <color rgb="FFFF0000"/>
        <rFont val="微软雅黑"/>
        <family val="2"/>
        <charset val="134"/>
      </rPr>
      <t>；</t>
    </r>
    <r>
      <rPr>
        <sz val="11"/>
        <color theme="6"/>
        <rFont val="Consolas"/>
        <family val="3"/>
      </rPr>
      <t>,</t>
    </r>
    <r>
      <rPr>
        <sz val="11"/>
        <color rgb="FF00B050"/>
        <rFont val="Segoe UI Emoji"/>
        <family val="2"/>
      </rPr>
      <t>✅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☐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☑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☒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</si>
  <si>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&amp;</t>
    </r>
    <r>
      <rPr>
        <sz val="11"/>
        <color theme="6"/>
        <rFont val="Consolas"/>
        <family val="3"/>
      </rPr>
      <t>/</t>
    </r>
    <r>
      <rPr>
        <sz val="11"/>
        <color theme="1"/>
        <rFont val="微软雅黑"/>
        <family val="2"/>
        <charset val="134"/>
      </rPr>
      <t>※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00B0F0"/>
        <rFont val="Segoe UI Emoji"/>
        <family val="2"/>
      </rPr>
      <t>ℹ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々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〃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∞</t>
    </r>
    <r>
      <rPr>
        <sz val="11"/>
        <color theme="6"/>
        <rFont val="Consolas"/>
        <family val="3"/>
      </rPr>
      <t/>
    </r>
    <phoneticPr fontId="1" type="noConversion"/>
  </si>
  <si>
    <r>
      <rPr>
        <sz val="11"/>
        <color rgb="FF0070C0"/>
        <rFont val="Consolas"/>
        <family val="3"/>
      </rPr>
      <t>&amp;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※</t>
    </r>
    <r>
      <rPr>
        <sz val="11"/>
        <color theme="6"/>
        <rFont val="Consolas"/>
        <family val="3"/>
      </rPr>
      <t>,</t>
    </r>
    <r>
      <rPr>
        <sz val="11"/>
        <color rgb="FF00B0F0"/>
        <rFont val="Segoe UI Emoji"/>
        <family val="2"/>
      </rPr>
      <t>ℹ</t>
    </r>
    <r>
      <rPr>
        <sz val="11"/>
        <color theme="6"/>
        <rFont val="Consolas"/>
        <family val="3"/>
      </rPr>
      <t>,</t>
    </r>
    <r>
      <rPr>
        <sz val="11"/>
        <color theme="1"/>
        <rFont val="Segoe UI Symbol"/>
        <family val="2"/>
      </rPr>
      <t>↩</t>
    </r>
    <r>
      <rPr>
        <sz val="11"/>
        <color theme="6"/>
        <rFont val="Consolas"/>
        <family val="3"/>
      </rPr>
      <t>,</t>
    </r>
    <r>
      <rPr>
        <sz val="11"/>
        <color theme="1"/>
        <rFont val="Segoe UI Symbol"/>
        <family val="2"/>
      </rPr>
      <t>⌫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々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〃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∞</t>
    </r>
    <phoneticPr fontId="1" type="noConversion"/>
  </si>
  <si>
    <r>
      <rPr>
        <sz val="11"/>
        <color theme="1"/>
        <rFont val="微软雅黑"/>
        <family val="2"/>
        <charset val="134"/>
      </rPr>
      <t>※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&amp;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00B0F0"/>
        <rFont val="Segoe UI Emoji"/>
        <family val="2"/>
      </rPr>
      <t>ℹ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々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〃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∞</t>
    </r>
    <r>
      <rPr>
        <sz val="11"/>
        <color theme="1"/>
        <rFont val="Consolas"/>
        <family val="3"/>
      </rPr>
      <t/>
    </r>
    <phoneticPr fontId="1" type="noConversion"/>
  </si>
  <si>
    <r>
      <rPr>
        <sz val="11"/>
        <color rgb="FFFF0000"/>
        <rFont val="新宋体"/>
        <family val="3"/>
        <charset val="134"/>
      </rPr>
      <t>？</t>
    </r>
    <r>
      <rPr>
        <sz val="11"/>
        <color theme="6"/>
        <rFont val="Consolas"/>
        <family val="3"/>
      </rPr>
      <t>,</t>
    </r>
    <r>
      <rPr>
        <sz val="11"/>
        <color rgb="FF00B050"/>
        <rFont val="Segoe UI Emoji"/>
        <family val="2"/>
      </rPr>
      <t>✔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❌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✘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⭕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</si>
  <si>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?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新宋体"/>
        <family val="3"/>
        <charset val="134"/>
      </rPr>
      <t>？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00B050"/>
        <rFont val="Segoe UI Emoji"/>
        <family val="2"/>
      </rPr>
      <t>✔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❌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✘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⭕</t>
    </r>
    <phoneticPr fontId="1" type="noConversion"/>
  </si>
  <si>
    <r>
      <rPr>
        <sz val="11"/>
        <color theme="1"/>
        <rFont val="Segoe UI"/>
        <family val="2"/>
      </rPr>
      <t>‰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%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FFC000"/>
        <rFont val="Segoe UI Emoji"/>
        <family val="2"/>
      </rPr>
      <t>⭐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★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☆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✪</t>
    </r>
    <phoneticPr fontId="1" type="noConversion"/>
  </si>
  <si>
    <r>
      <rPr>
        <sz val="11"/>
        <color rgb="FF0070C0"/>
        <rFont val="Consolas"/>
        <family val="3"/>
      </rPr>
      <t>%</t>
    </r>
    <r>
      <rPr>
        <sz val="11"/>
        <color theme="6"/>
        <rFont val="Consolas"/>
        <family val="3"/>
      </rPr>
      <t>/</t>
    </r>
    <r>
      <rPr>
        <sz val="11"/>
        <color theme="1"/>
        <rFont val="Segoe UI"/>
        <family val="2"/>
      </rPr>
      <t>‰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FFC000"/>
        <rFont val="Segoe UI Emoji"/>
        <family val="2"/>
      </rPr>
      <t>⭐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★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☆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✪</t>
    </r>
    <phoneticPr fontId="1" type="noConversion"/>
  </si>
  <si>
    <r>
      <rPr>
        <sz val="11"/>
        <color rgb="FF0070C0"/>
        <rFont val="Consolas"/>
        <family val="3"/>
      </rPr>
      <t>%</t>
    </r>
    <r>
      <rPr>
        <sz val="11"/>
        <color theme="6"/>
        <rFont val="Consolas"/>
        <family val="3"/>
      </rPr>
      <t>,</t>
    </r>
    <r>
      <rPr>
        <sz val="11"/>
        <color rgb="FFFFC000"/>
        <rFont val="Segoe UI Emoji"/>
        <family val="2"/>
      </rPr>
      <t>⭐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★</t>
    </r>
    <r>
      <rPr>
        <sz val="11"/>
        <color theme="6"/>
        <rFont val="Consolas"/>
        <family val="3"/>
      </rPr>
      <t>,</t>
    </r>
    <r>
      <rPr>
        <sz val="11"/>
        <color theme="1"/>
        <rFont val="Segoe UI"/>
        <family val="2"/>
      </rPr>
      <t>‰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☆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✪</t>
    </r>
    <phoneticPr fontId="1" type="noConversion"/>
  </si>
  <si>
    <r>
      <rPr>
        <sz val="11"/>
        <color rgb="FFFF0000"/>
        <rFont val="Consolas"/>
        <family val="3"/>
      </rPr>
      <t>……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^</t>
    </r>
    <r>
      <rPr>
        <sz val="11"/>
        <color rgb="FF00B050"/>
        <rFont val="新宋体"/>
        <family val="3"/>
        <charset val="134"/>
      </rPr>
      <t>←</t>
    </r>
    <r>
      <rPr>
        <sz val="11"/>
        <color theme="1"/>
        <rFont val="Segoe UI Symbol"/>
        <family val="2"/>
      </rPr>
      <t>⌘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⇧</t>
    </r>
    <r>
      <rPr>
        <sz val="11"/>
        <color theme="6"/>
        <rFont val="Consolas"/>
        <family val="3"/>
      </rPr>
      <t>,</t>
    </r>
    <r>
      <rPr>
        <sz val="11"/>
        <color theme="1"/>
        <rFont val="Segoe UI Symbol"/>
        <family val="2"/>
      </rPr>
      <t>⌥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⇥</t>
    </r>
    <phoneticPr fontId="1" type="noConversion"/>
  </si>
  <si>
    <r>
      <rPr>
        <sz val="11"/>
        <color rgb="FF0070C0"/>
        <rFont val="Consolas"/>
        <family val="3"/>
      </rPr>
      <t>;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微软雅黑"/>
        <family val="2"/>
        <charset val="134"/>
      </rPr>
      <t>；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00B050"/>
        <rFont val="Segoe UI Emoji"/>
        <family val="2"/>
      </rPr>
      <t>✅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☐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☑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☒</t>
    </r>
    <phoneticPr fontId="1" type="noConversion"/>
  </si>
  <si>
    <r>
      <rPr>
        <sz val="11"/>
        <color rgb="FF0070C0"/>
        <rFont val="Consolas"/>
        <family val="3"/>
      </rPr>
      <t>?</t>
    </r>
    <r>
      <rPr>
        <sz val="11"/>
        <color theme="6"/>
        <rFont val="Consolas"/>
        <family val="3"/>
      </rPr>
      <t>/</t>
    </r>
    <r>
      <rPr>
        <sz val="11"/>
        <color rgb="FFFF0000"/>
        <rFont val="新宋体"/>
        <family val="3"/>
        <charset val="134"/>
      </rPr>
      <t>？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00B050"/>
        <rFont val="Segoe UI Emoji"/>
        <family val="2"/>
      </rPr>
      <t>✔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❌</t>
    </r>
    <r>
      <rPr>
        <sz val="11"/>
        <color theme="6"/>
        <rFont val="Consolas"/>
        <family val="3"/>
      </rPr>
      <t>,</t>
    </r>
    <r>
      <rPr>
        <sz val="11"/>
        <color theme="1"/>
        <rFont val="Consolas"/>
        <family val="3"/>
      </rPr>
      <t>✘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⭕</t>
    </r>
    <phoneticPr fontId="1" type="noConversion"/>
  </si>
  <si>
    <r>
      <t>问题的答案是</t>
    </r>
    <r>
      <rPr>
        <sz val="11"/>
        <color rgb="FF00B050"/>
        <rFont val="Segoe UI Emoji"/>
        <family val="2"/>
      </rPr>
      <t>✔</t>
    </r>
    <r>
      <rPr>
        <sz val="11"/>
        <color theme="1"/>
        <rFont val="微软雅黑"/>
        <family val="2"/>
        <charset val="134"/>
      </rPr>
      <t>还是</t>
    </r>
    <r>
      <rPr>
        <sz val="11"/>
        <color rgb="FFFF0000"/>
        <rFont val="Segoe UI Emoji"/>
        <family val="2"/>
      </rPr>
      <t>❌</t>
    </r>
    <phoneticPr fontId="1" type="noConversion"/>
  </si>
  <si>
    <r>
      <rPr>
        <sz val="11"/>
        <color rgb="FF0070C0"/>
        <rFont val="Consolas"/>
        <family val="3"/>
      </rPr>
      <t>!</t>
    </r>
    <r>
      <rPr>
        <sz val="11"/>
        <color theme="6"/>
        <rFont val="Consolas"/>
        <family val="3"/>
      </rPr>
      <t>/</t>
    </r>
    <r>
      <rPr>
        <sz val="11"/>
        <color rgb="FFFF0000"/>
        <rFont val="新宋体"/>
        <family val="3"/>
        <charset val="134"/>
      </rPr>
      <t>！</t>
    </r>
    <r>
      <rPr>
        <sz val="11"/>
        <color rgb="FF00B050"/>
        <rFont val="新宋体"/>
        <family val="3"/>
        <charset val="134"/>
      </rPr>
      <t>→</t>
    </r>
    <r>
      <rPr>
        <sz val="11"/>
        <color rgb="FFFFC000"/>
        <rFont val="Segoe UI Emoji"/>
        <family val="2"/>
      </rPr>
      <t>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▲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🚨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△</t>
    </r>
    <phoneticPr fontId="1" type="noConversion"/>
  </si>
  <si>
    <r>
      <rPr>
        <sz val="11"/>
        <color rgb="FFFF0000"/>
        <rFont val="新宋体"/>
        <family val="3"/>
        <charset val="134"/>
      </rPr>
      <t>！</t>
    </r>
    <r>
      <rPr>
        <sz val="11"/>
        <color theme="6"/>
        <rFont val="Consolas"/>
        <family val="3"/>
      </rPr>
      <t>,</t>
    </r>
    <r>
      <rPr>
        <sz val="11"/>
        <color rgb="FFFFC000"/>
        <rFont val="Segoe UI Emoji"/>
        <family val="2"/>
      </rPr>
      <t>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▲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🚨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△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</si>
  <si>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rgb="FF0070C0"/>
        <rFont val="Consolas"/>
        <family val="3"/>
      </rPr>
      <t>!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FF0000"/>
        <rFont val="新宋体"/>
        <family val="3"/>
        <charset val="134"/>
      </rPr>
      <t>！</t>
    </r>
    <r>
      <rPr>
        <sz val="11"/>
        <color rgb="FF00B050"/>
        <rFont val="新宋体"/>
        <family val="3"/>
        <charset val="134"/>
      </rPr>
      <t>←</t>
    </r>
    <r>
      <rPr>
        <sz val="11"/>
        <color rgb="FFFFC000"/>
        <rFont val="Segoe UI Emoji"/>
        <family val="2"/>
      </rPr>
      <t>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▲</t>
    </r>
    <r>
      <rPr>
        <sz val="11"/>
        <color theme="6"/>
        <rFont val="Consolas"/>
        <family val="3"/>
      </rPr>
      <t>,</t>
    </r>
    <r>
      <rPr>
        <sz val="11"/>
        <color rgb="FFFF0000"/>
        <rFont val="Segoe UI Emoji"/>
        <family val="2"/>
      </rPr>
      <t>🚨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△</t>
    </r>
    <phoneticPr fontId="1" type="noConversion"/>
  </si>
  <si>
    <r>
      <rPr>
        <sz val="11"/>
        <color rgb="FF0070C0"/>
        <rFont val="Consolas"/>
        <family val="3"/>
      </rPr>
      <t>=</t>
    </r>
    <r>
      <rPr>
        <sz val="11"/>
        <color theme="6"/>
        <rFont val="Consolas"/>
        <family val="3"/>
      </rPr>
      <t>/</t>
    </r>
    <r>
      <rPr>
        <sz val="11"/>
        <rFont val="MS Gothic"/>
        <family val="3"/>
      </rPr>
      <t>⇒</t>
    </r>
    <r>
      <rPr>
        <sz val="11"/>
        <color rgb="FF00B050"/>
        <rFont val="新宋体"/>
        <family val="3"/>
        <charset val="134"/>
      </rPr>
      <t>→</t>
    </r>
    <r>
      <rPr>
        <sz val="11"/>
        <rFont val="MS Gothic"/>
        <family val="3"/>
      </rPr>
      <t>⇔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≈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≡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≅</t>
    </r>
    <phoneticPr fontId="1" type="noConversion"/>
  </si>
  <si>
    <r>
      <rPr>
        <sz val="11"/>
        <color theme="5"/>
        <rFont val="微软雅黑"/>
        <family val="2"/>
        <charset val="134"/>
      </rPr>
      <t>＝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</rPr>
      <t>⇒</t>
    </r>
    <r>
      <rPr>
        <sz val="11"/>
        <color theme="6"/>
        <rFont val="Consolas"/>
        <family val="3"/>
      </rPr>
      <t>,</t>
    </r>
    <r>
      <rPr>
        <sz val="11"/>
        <rFont val="MS Gothic"/>
        <family val="3"/>
        <charset val="128"/>
      </rPr>
      <t>⇔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≈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≡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≅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</si>
  <si>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rFont val="Consolas"/>
        <family val="3"/>
      </rPr>
      <t>§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#</t>
    </r>
    <r>
      <rPr>
        <sz val="11"/>
        <color rgb="FF00B050"/>
        <rFont val="新宋体"/>
        <family val="3"/>
        <charset val="134"/>
      </rPr>
      <t>←</t>
    </r>
    <r>
      <rPr>
        <sz val="11"/>
        <rFont val="微软雅黑"/>
        <family val="2"/>
        <charset val="134"/>
      </rPr>
      <t>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◆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◇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□</t>
    </r>
    <phoneticPr fontId="1" type="noConversion"/>
  </si>
  <si>
    <r>
      <rPr>
        <sz val="11"/>
        <color theme="5"/>
        <rFont val="微软雅黑"/>
        <family val="2"/>
        <charset val="134"/>
      </rPr>
      <t>｀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α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β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π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γ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λ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′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″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‴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</si>
  <si>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theme="5"/>
        <rFont val="微软雅黑"/>
        <family val="2"/>
        <charset val="134"/>
      </rPr>
      <t>＃</t>
    </r>
    <r>
      <rPr>
        <sz val="11"/>
        <color theme="6"/>
        <rFont val="Consolas"/>
        <family val="3"/>
      </rPr>
      <t>,</t>
    </r>
    <r>
      <rPr>
        <sz val="11"/>
        <rFont val="Consolas"/>
        <family val="3"/>
      </rPr>
      <t>§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■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◆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◇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□</t>
    </r>
    <r>
      <rPr>
        <sz val="11"/>
        <color theme="6"/>
        <rFont val="微软雅黑"/>
        <family val="2"/>
        <charset val="134"/>
      </rPr>
      <t>全角时</t>
    </r>
    <phoneticPr fontId="1" type="noConversion"/>
  </si>
  <si>
    <r>
      <rPr>
        <sz val="11"/>
        <color theme="1"/>
        <rFont val="MS Gothic"/>
        <family val="3"/>
        <charset val="128"/>
      </rPr>
      <t>⇒</t>
    </r>
    <r>
      <rPr>
        <sz val="11"/>
        <color rgb="FF00B050"/>
        <rFont val="Malgun Gothic Semilight"/>
        <family val="2"/>
        <charset val="134"/>
      </rPr>
      <t>↔</t>
    </r>
    <r>
      <rPr>
        <sz val="11"/>
        <color rgb="FF0070C0"/>
        <rFont val="Consolas"/>
        <family val="3"/>
      </rPr>
      <t>=</t>
    </r>
    <r>
      <rPr>
        <sz val="11"/>
        <color rgb="FF00B050"/>
        <rFont val="新宋体"/>
        <family val="3"/>
        <charset val="134"/>
      </rPr>
      <t>←</t>
    </r>
    <r>
      <rPr>
        <sz val="11"/>
        <rFont val="MS Gothic"/>
        <family val="3"/>
        <charset val="128"/>
      </rPr>
      <t>⇔</t>
    </r>
    <r>
      <rPr>
        <sz val="11"/>
        <color theme="6"/>
        <rFont val="Consolas"/>
        <family val="3"/>
      </rPr>
      <t>,</t>
    </r>
    <r>
      <rPr>
        <sz val="11"/>
        <rFont val="微软雅黑"/>
        <family val="2"/>
        <charset val="134"/>
      </rPr>
      <t>≈</t>
    </r>
    <r>
      <rPr>
        <sz val="11"/>
        <color theme="6"/>
        <rFont val="Consolas"/>
        <family val="3"/>
      </rPr>
      <t>,</t>
    </r>
    <r>
      <rPr>
        <sz val="11"/>
        <color theme="1"/>
        <rFont val="微软雅黑"/>
        <family val="2"/>
        <charset val="134"/>
      </rPr>
      <t>≡</t>
    </r>
    <r>
      <rPr>
        <sz val="11"/>
        <color theme="6"/>
        <rFont val="Consolas"/>
        <family val="3"/>
      </rPr>
      <t>,</t>
    </r>
    <r>
      <rPr>
        <sz val="11"/>
        <color theme="1"/>
        <rFont val="Cambria"/>
        <family val="1"/>
      </rPr>
      <t>≅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</si>
</sst>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Malgun Gothic Semilight"/>
      <family val="2"/>
      <charset val="134"/>
    </font>
    <font>
      <sz val="11"/>
      <color theme="1"/>
      <name val="Consolas"/>
      <family val="3"/>
    </font>
    <font>
      <sz val="11"/>
      <color theme="1"/>
      <name val="微软雅黑"/>
      <family val="2"/>
      <charset val="134"/>
    </font>
    <font>
      <sz val="11"/>
      <color rgb="FF0070C0"/>
      <name val="微软雅黑"/>
      <family val="2"/>
      <charset val="134"/>
    </font>
    <font>
      <sz val="11"/>
      <color rgb="FF0070C0"/>
      <name val="Consolas"/>
      <family val="3"/>
    </font>
    <font>
      <sz val="11"/>
      <color rgb="FFFF0000"/>
      <name val="Malgun Gothic Semilight"/>
      <family val="2"/>
      <charset val="134"/>
    </font>
    <font>
      <sz val="11"/>
      <color theme="6"/>
      <name val="Consolas"/>
      <family val="3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Consolas"/>
      <family val="3"/>
    </font>
    <font>
      <sz val="11"/>
      <color rgb="FFFF0000"/>
      <name val="新宋体"/>
      <family val="3"/>
      <charset val="134"/>
    </font>
    <font>
      <sz val="11"/>
      <color rgb="FF00B050"/>
      <name val="Malgun Gothic Semilight"/>
      <family val="2"/>
      <charset val="134"/>
    </font>
    <font>
      <sz val="11"/>
      <color theme="5"/>
      <name val="新宋体"/>
      <family val="3"/>
      <charset val="134"/>
    </font>
    <font>
      <sz val="11"/>
      <color theme="5"/>
      <name val="微软雅黑"/>
      <family val="2"/>
      <charset val="134"/>
    </font>
    <font>
      <sz val="11"/>
      <color theme="5"/>
      <name val="宋体"/>
      <family val="3"/>
      <charset val="134"/>
    </font>
    <font>
      <sz val="11"/>
      <color theme="6"/>
      <name val="微软雅黑"/>
      <family val="2"/>
      <charset val="134"/>
    </font>
    <font>
      <sz val="11"/>
      <name val="Consolas"/>
      <family val="3"/>
    </font>
    <font>
      <sz val="11"/>
      <color rgb="FF00B050"/>
      <name val="新宋体"/>
      <family val="3"/>
      <charset val="134"/>
    </font>
    <font>
      <sz val="11"/>
      <name val="MS Gothic"/>
      <family val="3"/>
      <charset val="128"/>
    </font>
    <font>
      <sz val="11"/>
      <name val="MS Gothic"/>
      <family val="3"/>
    </font>
    <font>
      <sz val="11"/>
      <name val="Malgun Gothic Semilight"/>
      <family val="2"/>
      <charset val="134"/>
    </font>
    <font>
      <sz val="11"/>
      <color rgb="FF00B050"/>
      <name val="Malgun Gothic"/>
      <family val="2"/>
      <charset val="129"/>
    </font>
    <font>
      <sz val="11"/>
      <color theme="1"/>
      <name val="MS Gothic"/>
      <family val="3"/>
      <charset val="128"/>
    </font>
    <font>
      <sz val="11"/>
      <color theme="1"/>
      <name val="Cambria"/>
      <family val="1"/>
    </font>
    <font>
      <sz val="11"/>
      <name val="新宋体"/>
      <family val="3"/>
      <charset val="134"/>
    </font>
    <font>
      <sz val="11"/>
      <color theme="1"/>
      <name val="Segoe UI Symbol"/>
      <family val="2"/>
    </font>
    <font>
      <sz val="11"/>
      <name val="Segoe UI Symbol"/>
      <family val="2"/>
    </font>
    <font>
      <sz val="11"/>
      <color theme="1"/>
      <name val="Segoe UI"/>
      <family val="2"/>
    </font>
    <font>
      <sz val="11"/>
      <color rgb="FFFFC000"/>
      <name val="Segoe UI Emoji"/>
      <family val="2"/>
    </font>
    <font>
      <sz val="11"/>
      <color rgb="FF00B050"/>
      <name val="Segoe UI Emoji"/>
      <family val="2"/>
    </font>
    <font>
      <sz val="11"/>
      <color rgb="FF00B0F0"/>
      <name val="Segoe UI Emoji"/>
      <family val="2"/>
    </font>
    <font>
      <sz val="11"/>
      <color rgb="FFFF0000"/>
      <name val="Segoe UI Emoj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quotePrefix="1" applyFont="1">
      <alignment vertical="center"/>
    </xf>
    <xf numFmtId="0" fontId="10" fillId="0" borderId="1" xfId="0" quotePrefix="1" applyFont="1" applyBorder="1">
      <alignment vertical="center"/>
    </xf>
    <xf numFmtId="0" fontId="11" fillId="0" borderId="0" xfId="0" applyFont="1">
      <alignment vertical="center"/>
    </xf>
    <xf numFmtId="0" fontId="13" fillId="0" borderId="1" xfId="0" applyFont="1" applyBorder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9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5" fillId="0" borderId="0" xfId="0" quotePrefix="1" applyFont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onsolas"/>
        <scheme val="none"/>
      </font>
    </dxf>
    <dxf>
      <font>
        <strike val="0"/>
        <outline val="0"/>
        <shadow val="0"/>
        <u val="none"/>
        <vertAlign val="baseline"/>
        <sz val="11"/>
        <color rgb="FF0070C0"/>
        <name val="Consolas"/>
        <scheme val="none"/>
      </font>
    </dxf>
    <dxf>
      <numFmt numFmtId="0" formatCode="General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G33">
  <autoFilter ref="A1:G33"/>
  <sortState ref="A2:G33">
    <sortCondition descending="1" ref="G1:G33"/>
  </sortState>
  <tableColumns count="7">
    <tableColumn id="1" name="标点符号" totalsRowLabel="汇总"/>
    <tableColumn id="2" name="Markdown"/>
    <tableColumn id="7" name="GFM"/>
    <tableColumn id="3" name="Java"/>
    <tableColumn id="4" name="Python" totalsRowFunction="sum"/>
    <tableColumn id="5" name="Rust"/>
    <tableColumn id="6" name="汇总" dataDxfId="13">
      <calculatedColumnFormula>SUM(表1[[#This Row],[Markdown]:[Rust]])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F34" totalsRowShown="0" headerRowDxfId="12" dataDxfId="11">
  <tableColumns count="6">
    <tableColumn id="1" name="英文  数字" dataDxfId="10"/>
    <tableColumn id="2" name="中文" dataDxfId="9"/>
    <tableColumn id="3" name="英/中标点变换" dataDxfId="8"/>
    <tableColumn id="4" name="扩展标点变换" dataDxfId="7"/>
    <tableColumn id="6" name="助记说明" dataDxfId="6"/>
    <tableColumn id="5" name="Rime标点候选菜单" dataDxfId="5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C2" totalsRowShown="0" headerRowDxfId="4" dataDxfId="3">
  <tableColumns count="3">
    <tableColumn id="1" name="数字时" dataDxfId="2"/>
    <tableColumn id="2" name="左Win+左Shift 轮换" dataDxfId="1"/>
    <tableColumn id="3" name="左Win+右Shift 轮换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3"/>
  <sheetViews>
    <sheetView topLeftCell="A8" zoomScaleNormal="100" workbookViewId="0">
      <selection activeCell="A20" sqref="A20"/>
    </sheetView>
  </sheetViews>
  <sheetFormatPr defaultRowHeight="14.25" x14ac:dyDescent="0.2"/>
  <cols>
    <col min="1" max="1" width="10.25" customWidth="1"/>
    <col min="2" max="2" width="12" customWidth="1"/>
    <col min="3" max="3" width="9" customWidth="1"/>
  </cols>
  <sheetData>
    <row r="1" spans="1:7" x14ac:dyDescent="0.2">
      <c r="A1" t="s">
        <v>0</v>
      </c>
      <c r="B1" t="s">
        <v>30</v>
      </c>
      <c r="C1" t="s">
        <v>33</v>
      </c>
      <c r="D1" t="s">
        <v>1</v>
      </c>
      <c r="E1" t="s">
        <v>2</v>
      </c>
      <c r="F1" t="s">
        <v>29</v>
      </c>
      <c r="G1" t="s">
        <v>31</v>
      </c>
    </row>
    <row r="2" spans="1:7" x14ac:dyDescent="0.2">
      <c r="A2" t="s">
        <v>4</v>
      </c>
      <c r="B2">
        <f>27+10+191+61+94+39</f>
        <v>422</v>
      </c>
      <c r="C2">
        <v>444</v>
      </c>
      <c r="D2">
        <f>1334+2593</f>
        <v>3927</v>
      </c>
      <c r="E2">
        <f>3485+1395</f>
        <v>4880</v>
      </c>
      <c r="F2">
        <v>2464</v>
      </c>
      <c r="G2">
        <f>SUM(表1[[#This Row],[Markdown]:[Rust]])</f>
        <v>12137</v>
      </c>
    </row>
    <row r="3" spans="1:7" x14ac:dyDescent="0.2">
      <c r="A3" t="s">
        <v>3</v>
      </c>
      <c r="B3">
        <f>27+10+191+61+95+39</f>
        <v>423</v>
      </c>
      <c r="C3">
        <v>430</v>
      </c>
      <c r="D3">
        <f>1334+2593</f>
        <v>3927</v>
      </c>
      <c r="E3">
        <f>3485+1398</f>
        <v>4883</v>
      </c>
      <c r="F3">
        <v>2465</v>
      </c>
      <c r="G3">
        <f>SUM(表1[[#This Row],[Markdown]:[Rust]])</f>
        <v>12128</v>
      </c>
    </row>
    <row r="4" spans="1:7" x14ac:dyDescent="0.2">
      <c r="A4" t="s">
        <v>32</v>
      </c>
      <c r="B4">
        <f>49+48+403+130+279+246</f>
        <v>1155</v>
      </c>
      <c r="C4">
        <v>1278</v>
      </c>
      <c r="D4">
        <f>1095+1809</f>
        <v>2904</v>
      </c>
      <c r="E4">
        <f>2859+1360</f>
        <v>4219</v>
      </c>
      <c r="F4">
        <v>1869</v>
      </c>
      <c r="G4">
        <f>SUM(表1[[#This Row],[Markdown]:[Rust]])</f>
        <v>11425</v>
      </c>
    </row>
    <row r="5" spans="1:7" x14ac:dyDescent="0.2">
      <c r="A5" t="s">
        <v>19</v>
      </c>
      <c r="B5">
        <f>18+491+131</f>
        <v>640</v>
      </c>
      <c r="C5">
        <v>556</v>
      </c>
      <c r="D5">
        <f>147+60</f>
        <v>207</v>
      </c>
      <c r="E5">
        <f>3325+1099</f>
        <v>4424</v>
      </c>
      <c r="F5">
        <v>2916</v>
      </c>
      <c r="G5">
        <f>SUM(表1[[#This Row],[Markdown]:[Rust]])</f>
        <v>8743</v>
      </c>
    </row>
    <row r="6" spans="1:7" x14ac:dyDescent="0.2">
      <c r="A6" t="s">
        <v>34</v>
      </c>
      <c r="B6">
        <f>19+65+166+136+27+323</f>
        <v>736</v>
      </c>
      <c r="C6">
        <v>1103</v>
      </c>
      <c r="D6">
        <f>682+1200</f>
        <v>1882</v>
      </c>
      <c r="E6">
        <f>1990+1319</f>
        <v>3309</v>
      </c>
      <c r="F6">
        <v>1570</v>
      </c>
      <c r="G6">
        <f>SUM(表1[[#This Row],[Markdown]:[Rust]])</f>
        <v>8600</v>
      </c>
    </row>
    <row r="7" spans="1:7" x14ac:dyDescent="0.2">
      <c r="A7" t="s">
        <v>18</v>
      </c>
      <c r="B7">
        <f>71+58+9</f>
        <v>138</v>
      </c>
      <c r="C7">
        <v>3854</v>
      </c>
      <c r="D7">
        <f>380+1482</f>
        <v>1862</v>
      </c>
      <c r="E7">
        <f>1737+368</f>
        <v>2105</v>
      </c>
      <c r="F7">
        <v>334</v>
      </c>
      <c r="G7">
        <f>SUM(表1[[#This Row],[Markdown]:[Rust]])</f>
        <v>8293</v>
      </c>
    </row>
    <row r="8" spans="1:7" x14ac:dyDescent="0.2">
      <c r="A8" t="s">
        <v>35</v>
      </c>
      <c r="B8">
        <f>50+21+196+157+267+85</f>
        <v>776</v>
      </c>
      <c r="C8">
        <v>783</v>
      </c>
      <c r="D8">
        <f>165+96</f>
        <v>261</v>
      </c>
      <c r="E8">
        <f>1253+968</f>
        <v>2221</v>
      </c>
      <c r="F8">
        <v>2593</v>
      </c>
      <c r="G8">
        <f>SUM(表1[[#This Row],[Markdown]:[Rust]])</f>
        <v>6634</v>
      </c>
    </row>
    <row r="9" spans="1:7" x14ac:dyDescent="0.2">
      <c r="A9" t="s">
        <v>17</v>
      </c>
      <c r="B9">
        <f>20+52+9</f>
        <v>81</v>
      </c>
      <c r="C9">
        <v>3711</v>
      </c>
      <c r="D9">
        <f>407+1482</f>
        <v>1889</v>
      </c>
      <c r="E9">
        <f>232+335</f>
        <v>567</v>
      </c>
      <c r="F9">
        <v>191</v>
      </c>
      <c r="G9">
        <f>SUM(表1[[#This Row],[Markdown]:[Rust]])</f>
        <v>6439</v>
      </c>
    </row>
    <row r="10" spans="1:7" x14ac:dyDescent="0.2">
      <c r="A10" t="s">
        <v>11</v>
      </c>
      <c r="B10">
        <f>67+218+696</f>
        <v>981</v>
      </c>
      <c r="C10">
        <v>2317</v>
      </c>
      <c r="D10">
        <f>651+775</f>
        <v>1426</v>
      </c>
      <c r="E10">
        <f>189+220</f>
        <v>409</v>
      </c>
      <c r="F10">
        <v>1207</v>
      </c>
      <c r="G10">
        <f>SUM(表1[[#This Row],[Markdown]:[Rust]])</f>
        <v>6340</v>
      </c>
    </row>
    <row r="11" spans="1:7" x14ac:dyDescent="0.2">
      <c r="A11" t="s">
        <v>15</v>
      </c>
      <c r="B11">
        <f>52+100+8</f>
        <v>160</v>
      </c>
      <c r="C11">
        <v>489</v>
      </c>
      <c r="D11">
        <f>703+559</f>
        <v>1262</v>
      </c>
      <c r="E11">
        <f>1951+1004</f>
        <v>2955</v>
      </c>
      <c r="F11">
        <v>951</v>
      </c>
      <c r="G11">
        <f>SUM(表1[[#This Row],[Markdown]:[Rust]])</f>
        <v>5817</v>
      </c>
    </row>
    <row r="12" spans="1:7" x14ac:dyDescent="0.2">
      <c r="A12" t="s">
        <v>42</v>
      </c>
      <c r="B12">
        <f>2+165+30+30+66+4</f>
        <v>297</v>
      </c>
      <c r="C12">
        <v>845</v>
      </c>
      <c r="D12">
        <f>166+326</f>
        <v>492</v>
      </c>
      <c r="E12">
        <f>1538+859</f>
        <v>2397</v>
      </c>
      <c r="F12">
        <v>1408</v>
      </c>
      <c r="G12">
        <f>SUM(表1[[#This Row],[Markdown]:[Rust]])</f>
        <v>5439</v>
      </c>
    </row>
    <row r="13" spans="1:7" x14ac:dyDescent="0.2">
      <c r="A13" s="1" t="s">
        <v>43</v>
      </c>
      <c r="B13">
        <f>6+36+41</f>
        <v>83</v>
      </c>
      <c r="C13">
        <v>46</v>
      </c>
      <c r="D13">
        <f>47+37</f>
        <v>84</v>
      </c>
      <c r="E13">
        <f>2734+2216</f>
        <v>4950</v>
      </c>
      <c r="F13">
        <v>171</v>
      </c>
      <c r="G13">
        <f>SUM(表1[[#This Row],[Markdown]:[Rust]])</f>
        <v>5334</v>
      </c>
    </row>
    <row r="14" spans="1:7" x14ac:dyDescent="0.2">
      <c r="A14" t="s">
        <v>36</v>
      </c>
      <c r="B14">
        <f>1+6+19</f>
        <v>26</v>
      </c>
      <c r="C14">
        <v>273</v>
      </c>
      <c r="D14">
        <f>1069+1367</f>
        <v>2436</v>
      </c>
      <c r="E14">
        <f>82+28</f>
        <v>110</v>
      </c>
      <c r="F14">
        <v>1014</v>
      </c>
      <c r="G14">
        <f>SUM(表1[[#This Row],[Markdown]:[Rust]])</f>
        <v>3859</v>
      </c>
    </row>
    <row r="15" spans="1:7" x14ac:dyDescent="0.2">
      <c r="A15" t="s">
        <v>14</v>
      </c>
      <c r="B15">
        <f>315+193+81</f>
        <v>589</v>
      </c>
      <c r="C15">
        <v>832</v>
      </c>
      <c r="D15">
        <f>284+176</f>
        <v>460</v>
      </c>
      <c r="E15">
        <f>771+771</f>
        <v>1542</v>
      </c>
      <c r="F15">
        <v>387</v>
      </c>
      <c r="G15">
        <f>SUM(表1[[#This Row],[Markdown]:[Rust]])</f>
        <v>3810</v>
      </c>
    </row>
    <row r="16" spans="1:7" x14ac:dyDescent="0.2">
      <c r="A16" t="s">
        <v>7</v>
      </c>
      <c r="B16">
        <f>13+26+64</f>
        <v>103</v>
      </c>
      <c r="C16">
        <v>19</v>
      </c>
      <c r="D16">
        <f>613+1361</f>
        <v>1974</v>
      </c>
      <c r="E16">
        <f>5+38</f>
        <v>43</v>
      </c>
      <c r="F16">
        <v>837</v>
      </c>
      <c r="G16">
        <f>SUM(表1[[#This Row],[Markdown]:[Rust]])</f>
        <v>2976</v>
      </c>
    </row>
    <row r="17" spans="1:7" x14ac:dyDescent="0.2">
      <c r="A17" t="s">
        <v>8</v>
      </c>
      <c r="B17">
        <f>13+26+64</f>
        <v>103</v>
      </c>
      <c r="C17">
        <v>19</v>
      </c>
      <c r="D17">
        <f>613+1361</f>
        <v>1974</v>
      </c>
      <c r="E17">
        <f>5+38</f>
        <v>43</v>
      </c>
      <c r="F17">
        <v>836</v>
      </c>
      <c r="G17">
        <f>SUM(表1[[#This Row],[Markdown]:[Rust]])</f>
        <v>2975</v>
      </c>
    </row>
    <row r="18" spans="1:7" x14ac:dyDescent="0.2">
      <c r="A18" t="s">
        <v>22</v>
      </c>
      <c r="B18">
        <f>129+232+351</f>
        <v>712</v>
      </c>
      <c r="C18">
        <v>244</v>
      </c>
      <c r="D18">
        <f>36+57</f>
        <v>93</v>
      </c>
      <c r="E18">
        <f>1114+209</f>
        <v>1323</v>
      </c>
      <c r="F18">
        <v>177</v>
      </c>
      <c r="G18">
        <f>SUM(表1[[#This Row],[Markdown]:[Rust]])</f>
        <v>2549</v>
      </c>
    </row>
    <row r="19" spans="1:7" x14ac:dyDescent="0.2">
      <c r="A19" t="s">
        <v>16</v>
      </c>
      <c r="B19">
        <f>54+37+161</f>
        <v>252</v>
      </c>
      <c r="C19">
        <v>870</v>
      </c>
      <c r="D19">
        <v>500</v>
      </c>
      <c r="E19">
        <f>736+35</f>
        <v>771</v>
      </c>
      <c r="F19">
        <v>115</v>
      </c>
      <c r="G19">
        <f>SUM(表1[[#This Row],[Markdown]:[Rust]])</f>
        <v>2508</v>
      </c>
    </row>
    <row r="20" spans="1:7" x14ac:dyDescent="0.2">
      <c r="A20" t="s">
        <v>23</v>
      </c>
      <c r="B20">
        <f>250+595+494</f>
        <v>1339</v>
      </c>
      <c r="C20">
        <v>378</v>
      </c>
      <c r="D20">
        <v>0</v>
      </c>
      <c r="E20">
        <v>1</v>
      </c>
      <c r="F20">
        <v>223</v>
      </c>
      <c r="G20">
        <f>SUM(表1[[#This Row],[Markdown]:[Rust]])</f>
        <v>1941</v>
      </c>
    </row>
    <row r="21" spans="1:7" x14ac:dyDescent="0.2">
      <c r="A21" t="s">
        <v>5</v>
      </c>
      <c r="B21">
        <f>78+24+3+105+74</f>
        <v>284</v>
      </c>
      <c r="C21">
        <v>499</v>
      </c>
      <c r="D21">
        <f>170+82</f>
        <v>252</v>
      </c>
      <c r="E21">
        <f>230+202</f>
        <v>432</v>
      </c>
      <c r="F21">
        <v>236</v>
      </c>
      <c r="G21">
        <f>SUM(表1[[#This Row],[Markdown]:[Rust]])</f>
        <v>1703</v>
      </c>
    </row>
    <row r="22" spans="1:7" x14ac:dyDescent="0.2">
      <c r="A22" t="s">
        <v>6</v>
      </c>
      <c r="B22">
        <f>78+24+3+105+74</f>
        <v>284</v>
      </c>
      <c r="C22">
        <v>481</v>
      </c>
      <c r="D22">
        <f>170+82</f>
        <v>252</v>
      </c>
      <c r="E22">
        <f>230+202</f>
        <v>432</v>
      </c>
      <c r="F22">
        <v>232</v>
      </c>
      <c r="G22">
        <f>SUM(表1[[#This Row],[Markdown]:[Rust]])</f>
        <v>1681</v>
      </c>
    </row>
    <row r="23" spans="1:7" x14ac:dyDescent="0.2">
      <c r="A23" t="s">
        <v>26</v>
      </c>
      <c r="B23">
        <f>0+49+9</f>
        <v>58</v>
      </c>
      <c r="C23">
        <v>80</v>
      </c>
      <c r="D23">
        <f>287+990</f>
        <v>1277</v>
      </c>
      <c r="E23">
        <f>3+5</f>
        <v>8</v>
      </c>
      <c r="F23">
        <v>5</v>
      </c>
      <c r="G23">
        <f>SUM(表1[[#This Row],[Markdown]:[Rust]])</f>
        <v>1428</v>
      </c>
    </row>
    <row r="24" spans="1:7" x14ac:dyDescent="0.2">
      <c r="A24" t="s">
        <v>13</v>
      </c>
      <c r="B24">
        <f>8+7+46</f>
        <v>61</v>
      </c>
      <c r="C24">
        <v>96</v>
      </c>
      <c r="D24">
        <f>152+111</f>
        <v>263</v>
      </c>
      <c r="E24">
        <f>329+207</f>
        <v>536</v>
      </c>
      <c r="F24">
        <v>34</v>
      </c>
      <c r="G24">
        <f>SUM(表1[[#This Row],[Markdown]:[Rust]])</f>
        <v>990</v>
      </c>
    </row>
    <row r="25" spans="1:7" x14ac:dyDescent="0.2">
      <c r="A25" t="s">
        <v>21</v>
      </c>
      <c r="B25">
        <f>6+1+0</f>
        <v>7</v>
      </c>
      <c r="C25">
        <v>244</v>
      </c>
      <c r="D25">
        <f>57+60</f>
        <v>117</v>
      </c>
      <c r="E25">
        <f>9+20</f>
        <v>29</v>
      </c>
      <c r="F25">
        <v>451</v>
      </c>
      <c r="G25">
        <f>SUM(表1[[#This Row],[Markdown]:[Rust]])</f>
        <v>848</v>
      </c>
    </row>
    <row r="26" spans="1:7" x14ac:dyDescent="0.2">
      <c r="A26" t="s">
        <v>10</v>
      </c>
      <c r="B26">
        <f>20+6+2+1+10</f>
        <v>39</v>
      </c>
      <c r="C26">
        <v>84</v>
      </c>
      <c r="D26">
        <f>103+63</f>
        <v>166</v>
      </c>
      <c r="E26">
        <f>44+15</f>
        <v>59</v>
      </c>
      <c r="F26">
        <v>274</v>
      </c>
      <c r="G26">
        <f>SUM(表1[[#This Row],[Markdown]:[Rust]])</f>
        <v>622</v>
      </c>
    </row>
    <row r="27" spans="1:7" x14ac:dyDescent="0.2">
      <c r="A27" s="1" t="s">
        <v>9</v>
      </c>
      <c r="B27">
        <f>7+4+6</f>
        <v>17</v>
      </c>
      <c r="C27">
        <v>105</v>
      </c>
      <c r="D27">
        <f>69+326</f>
        <v>395</v>
      </c>
      <c r="E27">
        <f>37+14</f>
        <v>51</v>
      </c>
      <c r="F27">
        <v>54</v>
      </c>
      <c r="G27">
        <f>SUM(表1[[#This Row],[Markdown]:[Rust]])</f>
        <v>622</v>
      </c>
    </row>
    <row r="28" spans="1:7" x14ac:dyDescent="0.2">
      <c r="A28" t="s">
        <v>12</v>
      </c>
      <c r="B28">
        <f>20+36+59+123</f>
        <v>238</v>
      </c>
      <c r="C28">
        <v>156</v>
      </c>
      <c r="D28">
        <f>4+0</f>
        <v>4</v>
      </c>
      <c r="E28">
        <f>24+137</f>
        <v>161</v>
      </c>
      <c r="F28">
        <v>45</v>
      </c>
      <c r="G28">
        <f>SUM(表1[[#This Row],[Markdown]:[Rust]])</f>
        <v>604</v>
      </c>
    </row>
    <row r="29" spans="1:7" x14ac:dyDescent="0.2">
      <c r="A29" t="s">
        <v>24</v>
      </c>
      <c r="B29">
        <f>27+56+0</f>
        <v>83</v>
      </c>
      <c r="C29">
        <v>44</v>
      </c>
      <c r="D29">
        <f>8+2</f>
        <v>10</v>
      </c>
      <c r="E29">
        <f>122+303</f>
        <v>425</v>
      </c>
      <c r="F29">
        <v>2</v>
      </c>
      <c r="G29">
        <f>SUM(表1[[#This Row],[Markdown]:[Rust]])</f>
        <v>564</v>
      </c>
    </row>
    <row r="30" spans="1:7" x14ac:dyDescent="0.2">
      <c r="A30" t="s">
        <v>20</v>
      </c>
      <c r="B30">
        <f>66+4+0</f>
        <v>70</v>
      </c>
      <c r="C30">
        <v>83</v>
      </c>
      <c r="D30">
        <f>55+58</f>
        <v>113</v>
      </c>
      <c r="E30">
        <f>52+11</f>
        <v>63</v>
      </c>
      <c r="F30">
        <v>185</v>
      </c>
      <c r="G30">
        <f>SUM(表1[[#This Row],[Markdown]:[Rust]])</f>
        <v>514</v>
      </c>
    </row>
    <row r="31" spans="1:7" x14ac:dyDescent="0.2">
      <c r="A31" t="s">
        <v>27</v>
      </c>
      <c r="B31">
        <f>8+2+9</f>
        <v>19</v>
      </c>
      <c r="C31">
        <v>116</v>
      </c>
      <c r="D31">
        <v>0</v>
      </c>
      <c r="E31">
        <f>1+3</f>
        <v>4</v>
      </c>
      <c r="F31">
        <v>0</v>
      </c>
      <c r="G31">
        <f>SUM(表1[[#This Row],[Markdown]:[Rust]])</f>
        <v>139</v>
      </c>
    </row>
    <row r="32" spans="1:7" x14ac:dyDescent="0.2">
      <c r="A32" t="s">
        <v>28</v>
      </c>
      <c r="B32">
        <f>11+0+0</f>
        <v>11</v>
      </c>
      <c r="C32">
        <v>5</v>
      </c>
      <c r="D32">
        <f>0+10</f>
        <v>10</v>
      </c>
      <c r="E32">
        <f>14+4</f>
        <v>18</v>
      </c>
      <c r="F32">
        <v>0</v>
      </c>
      <c r="G32">
        <f>SUM(表1[[#This Row],[Markdown]:[Rust]])</f>
        <v>44</v>
      </c>
    </row>
    <row r="33" spans="1:7" x14ac:dyDescent="0.2">
      <c r="A33" t="s">
        <v>25</v>
      </c>
      <c r="B33">
        <f>12+1+0</f>
        <v>13</v>
      </c>
      <c r="C33">
        <v>17</v>
      </c>
      <c r="D33">
        <v>0</v>
      </c>
      <c r="E33">
        <f>2+5</f>
        <v>7</v>
      </c>
      <c r="F33">
        <v>0</v>
      </c>
      <c r="G33">
        <f>SUM(表1[[#This Row],[Markdown]:[Rust]])</f>
        <v>37</v>
      </c>
    </row>
  </sheetData>
  <phoneticPr fontId="1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5"/>
  <sheetViews>
    <sheetView tabSelected="1" workbookViewId="0">
      <selection activeCell="B2" sqref="B2"/>
    </sheetView>
  </sheetViews>
  <sheetFormatPr defaultRowHeight="16.5" x14ac:dyDescent="0.2"/>
  <cols>
    <col min="1" max="1" width="9.875" style="2" customWidth="1"/>
    <col min="2" max="2" width="9" style="2"/>
    <col min="3" max="3" width="19.875" style="2" customWidth="1"/>
    <col min="4" max="4" width="20.125" style="2" customWidth="1"/>
    <col min="5" max="5" width="21.625" style="6" customWidth="1"/>
    <col min="6" max="6" width="24.5" customWidth="1"/>
    <col min="7" max="7" width="20.625" style="2" customWidth="1"/>
    <col min="8" max="8" width="8.75" customWidth="1"/>
  </cols>
  <sheetData>
    <row r="1" spans="1:7" x14ac:dyDescent="0.2">
      <c r="A1" s="8" t="s">
        <v>152</v>
      </c>
      <c r="B1" s="11" t="s">
        <v>77</v>
      </c>
      <c r="C1" s="8" t="s">
        <v>96</v>
      </c>
      <c r="D1" s="20" t="s">
        <v>99</v>
      </c>
      <c r="E1" s="20" t="s">
        <v>134</v>
      </c>
      <c r="F1" s="15" t="s">
        <v>78</v>
      </c>
      <c r="G1"/>
    </row>
    <row r="2" spans="1:7" x14ac:dyDescent="0.2">
      <c r="B2" s="6" t="s">
        <v>156</v>
      </c>
      <c r="C2" s="6" t="s">
        <v>97</v>
      </c>
      <c r="D2" s="2" t="s">
        <v>98</v>
      </c>
      <c r="F2" s="6"/>
      <c r="G2"/>
    </row>
    <row r="3" spans="1:7" x14ac:dyDescent="0.2">
      <c r="A3" s="7" t="s">
        <v>63</v>
      </c>
      <c r="B3" s="11" t="s">
        <v>52</v>
      </c>
      <c r="C3" s="2" t="s">
        <v>100</v>
      </c>
      <c r="D3" s="2" t="s">
        <v>108</v>
      </c>
      <c r="E3" s="6" t="s">
        <v>117</v>
      </c>
      <c r="F3" s="6" t="s">
        <v>79</v>
      </c>
      <c r="G3" t="s">
        <v>85</v>
      </c>
    </row>
    <row r="4" spans="1:7" x14ac:dyDescent="0.2">
      <c r="A4" s="7" t="s">
        <v>137</v>
      </c>
      <c r="B4" s="11" t="s">
        <v>34</v>
      </c>
      <c r="C4" s="2" t="s">
        <v>173</v>
      </c>
      <c r="D4" s="2" t="s">
        <v>163</v>
      </c>
      <c r="E4" s="6" t="s">
        <v>131</v>
      </c>
      <c r="F4" s="6" t="s">
        <v>174</v>
      </c>
      <c r="G4" t="s">
        <v>86</v>
      </c>
    </row>
    <row r="5" spans="1:7" x14ac:dyDescent="0.2">
      <c r="A5" s="7" t="s">
        <v>161</v>
      </c>
      <c r="B5" s="11" t="s">
        <v>54</v>
      </c>
      <c r="C5" s="6" t="s">
        <v>175</v>
      </c>
      <c r="D5" s="18" t="s">
        <v>205</v>
      </c>
      <c r="E5" s="6" t="s">
        <v>119</v>
      </c>
      <c r="F5" s="6" t="s">
        <v>80</v>
      </c>
      <c r="G5" t="s">
        <v>85</v>
      </c>
    </row>
    <row r="6" spans="1:7" x14ac:dyDescent="0.2">
      <c r="A6" s="7" t="s">
        <v>138</v>
      </c>
      <c r="B6" s="11" t="s">
        <v>53</v>
      </c>
      <c r="C6" s="15" t="s">
        <v>162</v>
      </c>
      <c r="D6" s="15" t="s">
        <v>169</v>
      </c>
      <c r="E6" s="6" t="s">
        <v>119</v>
      </c>
      <c r="F6" s="6" t="s">
        <v>81</v>
      </c>
      <c r="G6"/>
    </row>
    <row r="7" spans="1:7" x14ac:dyDescent="0.2">
      <c r="A7" s="7" t="s">
        <v>19</v>
      </c>
      <c r="B7" s="11" t="s">
        <v>62</v>
      </c>
      <c r="C7" s="2" t="s">
        <v>189</v>
      </c>
      <c r="D7" s="2" t="s">
        <v>190</v>
      </c>
      <c r="E7" s="6" t="s">
        <v>132</v>
      </c>
      <c r="F7" s="2" t="s">
        <v>176</v>
      </c>
      <c r="G7"/>
    </row>
    <row r="8" spans="1:7" x14ac:dyDescent="0.2">
      <c r="A8" s="7" t="s">
        <v>139</v>
      </c>
      <c r="B8" s="11" t="s">
        <v>101</v>
      </c>
      <c r="C8" s="2" t="s">
        <v>168</v>
      </c>
      <c r="D8" s="2" t="s">
        <v>191</v>
      </c>
      <c r="E8" s="6" t="s">
        <v>167</v>
      </c>
      <c r="F8" s="2" t="s">
        <v>192</v>
      </c>
      <c r="G8" t="s">
        <v>85</v>
      </c>
    </row>
    <row r="9" spans="1:7" x14ac:dyDescent="0.2">
      <c r="A9" s="9" t="s">
        <v>42</v>
      </c>
      <c r="B9" s="11" t="s">
        <v>64</v>
      </c>
      <c r="C9" s="2" t="s">
        <v>102</v>
      </c>
      <c r="D9" s="2" t="s">
        <v>103</v>
      </c>
      <c r="F9" s="2" t="s">
        <v>72</v>
      </c>
      <c r="G9"/>
    </row>
    <row r="10" spans="1:7" x14ac:dyDescent="0.2">
      <c r="A10" s="7" t="s">
        <v>11</v>
      </c>
      <c r="B10" s="7" t="s">
        <v>65</v>
      </c>
      <c r="C10" s="2" t="s">
        <v>204</v>
      </c>
      <c r="D10" s="2" t="s">
        <v>193</v>
      </c>
      <c r="E10" s="6" t="s">
        <v>124</v>
      </c>
      <c r="F10" s="2" t="s">
        <v>194</v>
      </c>
      <c r="G10" t="s">
        <v>88</v>
      </c>
    </row>
    <row r="11" spans="1:7" x14ac:dyDescent="0.2">
      <c r="A11" s="9" t="s">
        <v>140</v>
      </c>
      <c r="B11" s="9" t="s">
        <v>15</v>
      </c>
      <c r="C11" s="3" t="s">
        <v>233</v>
      </c>
      <c r="D11" s="3" t="s">
        <v>228</v>
      </c>
      <c r="E11" s="22" t="s">
        <v>121</v>
      </c>
      <c r="F11" s="3" t="s">
        <v>229</v>
      </c>
      <c r="G11"/>
    </row>
    <row r="12" spans="1:7" x14ac:dyDescent="0.2">
      <c r="A12" s="7" t="s">
        <v>17</v>
      </c>
      <c r="B12" s="11" t="s">
        <v>55</v>
      </c>
      <c r="C12" s="2" t="s">
        <v>208</v>
      </c>
      <c r="D12" s="2" t="s">
        <v>209</v>
      </c>
      <c r="E12" s="6" t="s">
        <v>127</v>
      </c>
      <c r="F12" s="2" t="s">
        <v>69</v>
      </c>
      <c r="G12" t="s">
        <v>89</v>
      </c>
    </row>
    <row r="13" spans="1:7" x14ac:dyDescent="0.2">
      <c r="A13" s="7" t="s">
        <v>18</v>
      </c>
      <c r="B13" s="11" t="s">
        <v>56</v>
      </c>
      <c r="C13" s="2" t="s">
        <v>166</v>
      </c>
      <c r="D13" s="2" t="s">
        <v>164</v>
      </c>
      <c r="E13" s="6" t="s">
        <v>120</v>
      </c>
      <c r="F13" s="2" t="s">
        <v>70</v>
      </c>
      <c r="G13" t="s">
        <v>90</v>
      </c>
    </row>
    <row r="14" spans="1:7" x14ac:dyDescent="0.2">
      <c r="A14" s="7" t="s">
        <v>141</v>
      </c>
      <c r="B14" s="11" t="s">
        <v>57</v>
      </c>
      <c r="C14" s="21" t="s">
        <v>222</v>
      </c>
      <c r="D14" s="2" t="s">
        <v>211</v>
      </c>
      <c r="E14" s="6" t="s">
        <v>130</v>
      </c>
      <c r="F14" s="6" t="s">
        <v>212</v>
      </c>
      <c r="G14" t="s">
        <v>87</v>
      </c>
    </row>
    <row r="15" spans="1:7" x14ac:dyDescent="0.2">
      <c r="A15" s="7" t="s">
        <v>44</v>
      </c>
      <c r="B15" s="7" t="s">
        <v>37</v>
      </c>
      <c r="C15" s="3" t="s">
        <v>196</v>
      </c>
      <c r="D15" s="3" t="s">
        <v>197</v>
      </c>
      <c r="E15" s="22" t="s">
        <v>133</v>
      </c>
      <c r="F15" s="3" t="s">
        <v>109</v>
      </c>
      <c r="G15"/>
    </row>
    <row r="16" spans="1:7" x14ac:dyDescent="0.2">
      <c r="A16" s="7" t="s">
        <v>7</v>
      </c>
      <c r="B16" s="11" t="s">
        <v>58</v>
      </c>
      <c r="C16" s="2" t="s">
        <v>206</v>
      </c>
      <c r="D16" s="2" t="s">
        <v>207</v>
      </c>
      <c r="E16" s="6" t="s">
        <v>129</v>
      </c>
      <c r="F16" s="2" t="s">
        <v>84</v>
      </c>
      <c r="G16"/>
    </row>
    <row r="17" spans="1:7" x14ac:dyDescent="0.2">
      <c r="A17" s="7" t="s">
        <v>142</v>
      </c>
      <c r="B17" s="11" t="s">
        <v>59</v>
      </c>
      <c r="C17" s="20" t="s">
        <v>165</v>
      </c>
      <c r="D17" s="20" t="s">
        <v>170</v>
      </c>
      <c r="E17" s="6" t="s">
        <v>129</v>
      </c>
      <c r="F17" s="2" t="s">
        <v>82</v>
      </c>
      <c r="G17"/>
    </row>
    <row r="18" spans="1:7" x14ac:dyDescent="0.2">
      <c r="A18" s="9" t="s">
        <v>143</v>
      </c>
      <c r="B18" s="10" t="s">
        <v>71</v>
      </c>
      <c r="C18" s="2" t="s">
        <v>104</v>
      </c>
      <c r="D18" s="2" t="s">
        <v>105</v>
      </c>
      <c r="F18" s="5" t="s">
        <v>73</v>
      </c>
      <c r="G18"/>
    </row>
    <row r="19" spans="1:7" x14ac:dyDescent="0.2">
      <c r="A19" s="7" t="s">
        <v>16</v>
      </c>
      <c r="B19" s="7" t="s">
        <v>66</v>
      </c>
      <c r="C19" s="2" t="s">
        <v>153</v>
      </c>
      <c r="D19" s="2" t="s">
        <v>187</v>
      </c>
      <c r="E19" s="6" t="s">
        <v>118</v>
      </c>
      <c r="F19" s="2" t="s">
        <v>106</v>
      </c>
      <c r="G19" t="s">
        <v>85</v>
      </c>
    </row>
    <row r="20" spans="1:7" x14ac:dyDescent="0.2">
      <c r="A20" s="7" t="s">
        <v>22</v>
      </c>
      <c r="B20" s="7" t="s">
        <v>67</v>
      </c>
      <c r="C20" s="2" t="s">
        <v>230</v>
      </c>
      <c r="D20" s="2" t="s">
        <v>202</v>
      </c>
      <c r="E20" s="6" t="s">
        <v>120</v>
      </c>
      <c r="F20" s="2" t="s">
        <v>232</v>
      </c>
      <c r="G20" t="s">
        <v>85</v>
      </c>
    </row>
    <row r="21" spans="1:7" x14ac:dyDescent="0.2">
      <c r="A21" s="7" t="s">
        <v>144</v>
      </c>
      <c r="B21" s="11" t="s">
        <v>112</v>
      </c>
      <c r="C21" s="2" t="s">
        <v>203</v>
      </c>
      <c r="D21" s="2" t="s">
        <v>210</v>
      </c>
      <c r="E21" s="6" t="s">
        <v>129</v>
      </c>
      <c r="F21" s="2" t="s">
        <v>111</v>
      </c>
      <c r="G21"/>
    </row>
    <row r="22" spans="1:7" x14ac:dyDescent="0.2">
      <c r="A22" s="7" t="s">
        <v>145</v>
      </c>
      <c r="B22" s="11" t="s">
        <v>113</v>
      </c>
      <c r="C22" s="20" t="s">
        <v>172</v>
      </c>
      <c r="D22" s="20" t="s">
        <v>171</v>
      </c>
      <c r="E22" s="6" t="s">
        <v>129</v>
      </c>
      <c r="F22" s="2" t="s">
        <v>83</v>
      </c>
      <c r="G22"/>
    </row>
    <row r="23" spans="1:7" x14ac:dyDescent="0.2">
      <c r="A23" s="7" t="s">
        <v>146</v>
      </c>
      <c r="B23" s="7" t="s">
        <v>68</v>
      </c>
      <c r="C23" s="2" t="s">
        <v>177</v>
      </c>
      <c r="D23" s="2" t="s">
        <v>178</v>
      </c>
      <c r="E23" s="6" t="s">
        <v>136</v>
      </c>
      <c r="F23" s="2" t="s">
        <v>231</v>
      </c>
      <c r="G23" t="s">
        <v>51</v>
      </c>
    </row>
    <row r="24" spans="1:7" x14ac:dyDescent="0.2">
      <c r="A24" s="7" t="s">
        <v>45</v>
      </c>
      <c r="B24" s="7" t="s">
        <v>38</v>
      </c>
      <c r="C24" s="3" t="s">
        <v>198</v>
      </c>
      <c r="D24" s="3" t="s">
        <v>199</v>
      </c>
      <c r="E24" s="22" t="s">
        <v>135</v>
      </c>
      <c r="F24" s="3" t="s">
        <v>195</v>
      </c>
      <c r="G24"/>
    </row>
    <row r="25" spans="1:7" x14ac:dyDescent="0.2">
      <c r="A25" s="7" t="s">
        <v>21</v>
      </c>
      <c r="B25" s="7" t="s">
        <v>39</v>
      </c>
      <c r="C25" s="2" t="s">
        <v>215</v>
      </c>
      <c r="D25" s="2" t="s">
        <v>213</v>
      </c>
      <c r="E25" s="6" t="s">
        <v>185</v>
      </c>
      <c r="F25" s="2" t="s">
        <v>214</v>
      </c>
      <c r="G25" t="s">
        <v>91</v>
      </c>
    </row>
    <row r="26" spans="1:7" x14ac:dyDescent="0.2">
      <c r="A26" s="7" t="s">
        <v>147</v>
      </c>
      <c r="B26" s="12" t="s">
        <v>50</v>
      </c>
      <c r="C26" s="4" t="s">
        <v>217</v>
      </c>
      <c r="D26" s="4" t="s">
        <v>223</v>
      </c>
      <c r="E26" s="23" t="s">
        <v>224</v>
      </c>
      <c r="F26" s="4" t="s">
        <v>216</v>
      </c>
      <c r="G26" t="s">
        <v>85</v>
      </c>
    </row>
    <row r="27" spans="1:7" x14ac:dyDescent="0.2">
      <c r="A27" s="7" t="s">
        <v>148</v>
      </c>
      <c r="B27" s="13" t="s">
        <v>49</v>
      </c>
      <c r="C27" s="2" t="s">
        <v>227</v>
      </c>
      <c r="D27" s="2" t="s">
        <v>225</v>
      </c>
      <c r="E27" s="6" t="s">
        <v>126</v>
      </c>
      <c r="F27" s="2" t="s">
        <v>226</v>
      </c>
      <c r="G27"/>
    </row>
    <row r="28" spans="1:7" x14ac:dyDescent="0.2">
      <c r="A28" s="7" t="s">
        <v>12</v>
      </c>
      <c r="B28" s="11" t="s">
        <v>60</v>
      </c>
      <c r="C28" s="2" t="s">
        <v>154</v>
      </c>
      <c r="D28" s="2" t="s">
        <v>155</v>
      </c>
      <c r="E28" s="6" t="s">
        <v>122</v>
      </c>
      <c r="F28" s="2" t="s">
        <v>74</v>
      </c>
      <c r="G28"/>
    </row>
    <row r="29" spans="1:7" x14ac:dyDescent="0.2">
      <c r="A29" s="7" t="s">
        <v>20</v>
      </c>
      <c r="B29" s="14" t="s">
        <v>75</v>
      </c>
      <c r="C29" s="2" t="s">
        <v>107</v>
      </c>
      <c r="D29" s="2" t="s">
        <v>183</v>
      </c>
      <c r="E29" s="6" t="s">
        <v>120</v>
      </c>
      <c r="F29" s="2" t="s">
        <v>110</v>
      </c>
      <c r="G29"/>
    </row>
    <row r="30" spans="1:7" x14ac:dyDescent="0.2">
      <c r="A30" s="7" t="s">
        <v>149</v>
      </c>
      <c r="B30" s="7" t="s">
        <v>40</v>
      </c>
      <c r="C30" s="3" t="s">
        <v>116</v>
      </c>
      <c r="D30" s="3" t="s">
        <v>186</v>
      </c>
      <c r="E30" s="22" t="s">
        <v>119</v>
      </c>
      <c r="F30" s="3" t="s">
        <v>115</v>
      </c>
      <c r="G30" t="s">
        <v>92</v>
      </c>
    </row>
    <row r="31" spans="1:7" x14ac:dyDescent="0.2">
      <c r="A31" s="7" t="s">
        <v>150</v>
      </c>
      <c r="B31" s="7" t="s">
        <v>41</v>
      </c>
      <c r="C31" s="2" t="s">
        <v>218</v>
      </c>
      <c r="D31" s="2" t="s">
        <v>219</v>
      </c>
      <c r="E31" s="6" t="s">
        <v>123</v>
      </c>
      <c r="F31" s="2" t="s">
        <v>220</v>
      </c>
      <c r="G31" t="s">
        <v>93</v>
      </c>
    </row>
    <row r="32" spans="1:7" x14ac:dyDescent="0.2">
      <c r="A32" s="7" t="s">
        <v>151</v>
      </c>
      <c r="B32" s="11" t="s">
        <v>76</v>
      </c>
      <c r="C32" s="2" t="s">
        <v>221</v>
      </c>
      <c r="D32" s="2" t="s">
        <v>200</v>
      </c>
      <c r="E32" s="6" t="s">
        <v>128</v>
      </c>
      <c r="F32" s="2" t="s">
        <v>201</v>
      </c>
      <c r="G32" t="s">
        <v>91</v>
      </c>
    </row>
    <row r="33" spans="1:7" x14ac:dyDescent="0.2">
      <c r="A33" s="7" t="s">
        <v>46</v>
      </c>
      <c r="B33" s="13" t="s">
        <v>48</v>
      </c>
      <c r="C33" s="2" t="s">
        <v>179</v>
      </c>
      <c r="D33" s="2" t="s">
        <v>180</v>
      </c>
      <c r="E33" s="6" t="s">
        <v>136</v>
      </c>
      <c r="F33" s="2" t="s">
        <v>181</v>
      </c>
      <c r="G33" t="s">
        <v>51</v>
      </c>
    </row>
    <row r="34" spans="1:7" x14ac:dyDescent="0.2">
      <c r="A34" s="7" t="s">
        <v>47</v>
      </c>
      <c r="B34" s="11" t="s">
        <v>61</v>
      </c>
      <c r="C34" s="2" t="s">
        <v>182</v>
      </c>
      <c r="D34" s="2" t="s">
        <v>184</v>
      </c>
      <c r="E34" s="6" t="s">
        <v>125</v>
      </c>
      <c r="F34" s="2" t="s">
        <v>188</v>
      </c>
      <c r="G34" t="s">
        <v>89</v>
      </c>
    </row>
    <row r="35" spans="1:7" x14ac:dyDescent="0.2">
      <c r="A35" s="18" t="s">
        <v>114</v>
      </c>
      <c r="B35" s="19"/>
      <c r="C35" s="19"/>
      <c r="D35" s="19"/>
      <c r="G35" s="19"/>
    </row>
  </sheetData>
  <phoneticPr fontId="1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2"/>
  <sheetViews>
    <sheetView workbookViewId="0">
      <selection activeCell="A2" sqref="A2"/>
    </sheetView>
  </sheetViews>
  <sheetFormatPr defaultRowHeight="14.25" x14ac:dyDescent="0.2"/>
  <cols>
    <col min="1" max="1" width="8.5" bestFit="1" customWidth="1"/>
    <col min="2" max="3" width="20.25" bestFit="1" customWidth="1"/>
  </cols>
  <sheetData>
    <row r="1" spans="1:3" ht="16.5" x14ac:dyDescent="0.2">
      <c r="A1" s="6" t="s">
        <v>95</v>
      </c>
      <c r="B1" s="6" t="s">
        <v>159</v>
      </c>
      <c r="C1" s="6" t="s">
        <v>160</v>
      </c>
    </row>
    <row r="2" spans="1:3" ht="16.5" x14ac:dyDescent="0.2">
      <c r="A2" s="6" t="s">
        <v>94</v>
      </c>
      <c r="B2" s="17" t="s">
        <v>157</v>
      </c>
      <c r="C2" s="16" t="s">
        <v>158</v>
      </c>
    </row>
  </sheetData>
  <phoneticPr fontId="1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标点频率统计</vt:lpstr>
      <vt:lpstr>标点漂移方案</vt:lpstr>
      <vt:lpstr>数字漂移方案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曾庆耀</dc:creator>
  <cp:lastModifiedBy>曾庆耀</cp:lastModifiedBy>
  <dcterms:created xsi:type="dcterms:W3CDTF">2024-04-08T10:14:33Z</dcterms:created>
  <dcterms:modified xsi:type="dcterms:W3CDTF">2026-09-03T16:38:47Z</dcterms:modified>
</cp:coreProperties>
</file>